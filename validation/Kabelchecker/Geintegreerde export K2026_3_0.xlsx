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326"/>
  <x:workbookPr codeName="ThisWorkbook"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3.0 (2026)/"/>
    </mc:Choice>
  </mc:AlternateContent>
  <xr:revisionPtr revIDLastSave="377" documentId="8_{F8C2E685-BAB1-4ADD-AB6B-81389BC7D60C}" xr6:coauthVersionLast="47" xr6:coauthVersionMax="47" xr10:uidLastSave="{89690703-839B-4AB6-83B1-D139A890549C}"/>
  <x:bookViews>
    <x:workbookView xWindow="-28920" yWindow="-120" windowWidth="29040" windowHeight="15720" tabRatio="685" firstSheet="0" activeTab="3" xr2:uid="{B7A881E3-F0DF-446A-A40E-6F4020F62436}"/>
  </x:bookViews>
  <x:sheets>
    <x:sheet name="Versie beheer" sheetId="25" r:id="rId1"/>
    <x:sheet name="Transformator" sheetId="1" r:id="rId2"/>
    <x:sheet name="Blad1" sheetId="27" r:id="rId3"/>
    <x:sheet name="(1)" sheetId="10" r:id="rId4"/>
    <x:sheet name="(2)" sheetId="14" r:id="rId5"/>
    <x:sheet name="(3)" sheetId="15" r:id="rId6"/>
    <x:sheet name="(4)" sheetId="16" r:id="rId7"/>
    <x:sheet name="(5)" sheetId="17" r:id="rId8"/>
    <x:sheet name="(6)" sheetId="18" r:id="rId9"/>
    <x:sheet name="(7)" sheetId="19" r:id="rId10"/>
    <x:sheet name="(8)" sheetId="20" r:id="rId11"/>
    <x:sheet name="(9)" sheetId="21" r:id="rId12"/>
    <x:sheet name="(10)" sheetId="22" r:id="rId13"/>
    <x:sheet name="(11)" sheetId="23" r:id="rId14"/>
    <x:sheet name="(12)" sheetId="24" r:id="rId15"/>
    <x:sheet name="Stijgleiding" sheetId="11" r:id="rId16"/>
    <x:sheet name="OVL" sheetId="26" r:id="rId17"/>
  </x:sheets>
  <x:definedNames/>
  <x:calcPr calcId="191028" calcMode="auto" fullCalcOnLoad="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B5" i="1"/>
  <x:c r="H5" i="1"/>
  <x:c r="I5" i="1"/>
  <x:c r="J5" i="1"/>
  <x:c r="K5" i="1"/>
  <x:c r="B6" i="1"/>
  <x:c r="H6" i="1"/>
  <x:c r="I6" i="1"/>
  <x:c r="J6" i="1"/>
  <x:c r="K6" i="1"/>
  <x:c r="B7" i="1"/>
  <x:c r="H7" i="1"/>
  <x:c r="I7" i="1"/>
  <x:c r="J7" i="1"/>
  <x:c r="K7" i="1"/>
  <x:c r="B8" i="1"/>
  <x:c r="H8" i="1"/>
  <x:c r="I8" i="1"/>
  <x:c r="J8" i="1"/>
  <x:c r="K8" i="1"/>
  <x:c r="B11" i="1"/>
  <x:c r="H11" i="1"/>
  <x:c r="I11" i="1"/>
  <x:c r="J11" i="1"/>
  <x:c r="K11" i="1"/>
  <x:c r="B12" i="1"/>
  <x:c r="H12" i="1"/>
  <x:c r="I12" i="1"/>
  <x:c r="J12" i="1"/>
  <x:c r="K12" i="1"/>
  <x:c r="B13" i="1"/>
  <x:c r="H13" i="1"/>
  <x:c r="I13" i="1"/>
  <x:c r="J13" i="1"/>
  <x:c r="K13" i="1"/>
  <x:c r="B14" i="1"/>
  <x:c r="H14" i="1"/>
  <x:c r="I14" i="1"/>
  <x:c r="J14" i="1"/>
  <x:c r="K14" i="1"/>
  <x:c r="B17" i="1"/>
  <x:c r="H17" i="1"/>
  <x:c r="I17" i="1"/>
  <x:c r="J17" i="1"/>
  <x:c r="K17" i="1"/>
  <x:c r="B18" i="1"/>
  <x:c r="H18" i="1"/>
  <x:c r="I18" i="1"/>
  <x:c r="J18" i="1"/>
  <x:c r="K18" i="1"/>
  <x:c r="B19" i="1"/>
  <x:c r="H19" i="1"/>
  <x:c r="I19" i="1"/>
  <x:c r="J19" i="1"/>
  <x:c r="K19" i="1"/>
  <x:c r="B20" i="1"/>
  <x:c r="H20" i="1"/>
  <x:c r="I20" i="1"/>
  <x:c r="J20" i="1"/>
  <x:c r="K20" i="1"/>
  <x:c r="B23" i="1"/>
  <x:c r="H23" i="1"/>
  <x:c r="J23" i="1"/>
  <x:c r="H24" i="1"/>
  <x:c r="J24" i="1"/>
  <x:c r="B27" i="1"/>
  <x:c r="H27" i="1"/>
  <x:c r="J27" i="1"/>
  <x:c r="B30" i="1"/>
  <x:c r="H30" i="1"/>
  <x:c r="J30" i="1"/>
  <x:c r="H33" i="1"/>
  <x:c r="J33" i="1"/>
  <x:c r="B36" i="1"/>
  <x:c r="H36" i="1"/>
  <x:c r="I36" i="1"/>
  <x:c r="J36" i="1"/>
  <x:c r="K36" i="1"/>
  <x:c r="B37" i="1"/>
  <x:c r="H37" i="1"/>
  <x:c r="I37" i="1"/>
  <x:c r="J37" i="1"/>
  <x:c r="K37" i="1"/>
  <x:c r="B38" i="1"/>
  <x:c r="H38" i="1"/>
  <x:c r="I38" i="1"/>
  <x:c r="J38" i="1"/>
  <x:c r="K38" i="1"/>
  <x:c r="B39" i="1"/>
  <x:c r="H39" i="1"/>
  <x:c r="I39" i="1"/>
  <x:c r="J39" i="1"/>
  <x:c r="K39" i="1"/>
  <x:c r="B40" i="1"/>
  <x:c r="H40" i="1"/>
  <x:c r="I40" i="1"/>
  <x:c r="J40" i="1"/>
  <x:c r="K40" i="1"/>
  <x:c r="B41" i="1"/>
  <x:c r="H41" i="1"/>
  <x:c r="I41" i="1"/>
  <x:c r="J41" i="1"/>
  <x:c r="K41" i="1"/>
  <x:c r="B42" i="1"/>
  <x:c r="H42" i="1"/>
  <x:c r="I42" i="1"/>
  <x:c r="J42" i="1"/>
  <x:c r="K42" i="1"/>
  <x:c r="B43" i="1"/>
  <x:c r="H43" i="1"/>
  <x:c r="I43" i="1"/>
  <x:c r="J43" i="1"/>
  <x:c r="K43" i="1"/>
  <x:c r="B44" i="1"/>
  <x:c r="H44" i="1"/>
  <x:c r="I44" i="1"/>
  <x:c r="J44" i="1"/>
  <x:c r="K44" i="1"/>
  <x:c r="B45" i="1"/>
  <x:c r="H45" i="1"/>
  <x:c r="I45" i="1"/>
  <x:c r="J45" i="1"/>
  <x:c r="K45" i="1"/>
  <x:c r="B46" i="1"/>
  <x:c r="H46" i="1"/>
  <x:c r="I46" i="1"/>
  <x:c r="J46" i="1"/>
  <x:c r="K46" i="1"/>
  <x:c r="B47" i="1"/>
  <x:c r="H47" i="1"/>
  <x:c r="I47" i="1"/>
  <x:c r="J47" i="1"/>
  <x:c r="K47" i="1"/>
  <x:c r="B48" i="1"/>
  <x:c r="H48" i="1"/>
  <x:c r="I48" i="1"/>
  <x:c r="J48" i="1"/>
  <x:c r="K48" i="1"/>
  <x:c r="B49" i="1"/>
  <x:c r="H49" i="1"/>
  <x:c r="I49" i="1"/>
  <x:c r="J49" i="1"/>
  <x:c r="K49" i="1"/>
  <x:c r="B50" i="1"/>
  <x:c r="H50" i="1"/>
  <x:c r="I50" i="1"/>
  <x:c r="J50" i="1"/>
  <x:c r="K50" i="1"/>
  <x:c r="B53" i="1"/>
  <x:c r="H53" i="1"/>
  <x:c r="I53" i="1"/>
  <x:c r="J53" i="1"/>
  <x:c r="K53" i="1"/>
  <x:c r="B54" i="1"/>
  <x:c r="H54" i="1"/>
  <x:c r="I54" i="1"/>
  <x:c r="J54" i="1"/>
  <x:c r="K54" i="1"/>
  <x:c r="B55" i="1"/>
  <x:c r="H55" i="1"/>
  <x:c r="I55" i="1"/>
  <x:c r="J55" i="1"/>
  <x:c r="K55" i="1"/>
  <x:c r="B56" i="1"/>
  <x:c r="H56" i="1"/>
  <x:c r="I56" i="1"/>
  <x:c r="J56" i="1"/>
  <x:c r="K56" i="1"/>
  <x:c r="B57" i="1"/>
  <x:c r="H57" i="1"/>
  <x:c r="I57" i="1"/>
  <x:c r="J57" i="1"/>
  <x:c r="K57" i="1"/>
  <x:c r="B58" i="1"/>
  <x:c r="H58" i="1"/>
  <x:c r="I58" i="1"/>
  <x:c r="J58" i="1"/>
  <x:c r="K58" i="1"/>
  <x:c r="B59" i="1"/>
  <x:c r="H59" i="1"/>
  <x:c r="I59" i="1"/>
  <x:c r="J59" i="1"/>
  <x:c r="K59" i="1"/>
  <x:c r="B60" i="1"/>
  <x:c r="H60" i="1"/>
  <x:c r="I60" i="1"/>
  <x:c r="J60" i="1"/>
  <x:c r="K60" i="1"/>
  <x:c r="B61" i="1"/>
  <x:c r="H61" i="1"/>
  <x:c r="I61" i="1"/>
  <x:c r="J61" i="1"/>
  <x:c r="K61" i="1"/>
  <x:c r="B62" i="1"/>
  <x:c r="H62" i="1"/>
  <x:c r="I62" i="1"/>
  <x:c r="J62" i="1"/>
  <x:c r="K62" i="1"/>
  <x:c r="B63" i="1"/>
  <x:c r="H63" i="1"/>
  <x:c r="I63" i="1"/>
  <x:c r="J63" i="1"/>
  <x:c r="K63" i="1"/>
  <x:c r="B64" i="1"/>
  <x:c r="H64" i="1"/>
  <x:c r="I64" i="1"/>
  <x:c r="J64" i="1"/>
  <x:c r="K64" i="1"/>
  <x:c r="B65" i="1"/>
  <x:c r="H65" i="1"/>
  <x:c r="I65" i="1"/>
  <x:c r="J65" i="1"/>
  <x:c r="K65" i="1"/>
  <x:c r="B66" i="1"/>
  <x:c r="H66" i="1"/>
  <x:c r="I66" i="1"/>
  <x:c r="J66" i="1"/>
  <x:c r="K66" i="1"/>
  <x:c r="B67" i="1"/>
  <x:c r="H67" i="1"/>
  <x:c r="I67" i="1"/>
  <x:c r="J67" i="1"/>
  <x:c r="K67" i="1"/>
  <x:c r="B70" i="1"/>
  <x:c r="H70" i="1"/>
  <x:c r="J70" i="1"/>
  <x:c r="B73" i="1"/>
  <x:c r="H73" i="1"/>
  <x:c r="J73" i="1"/>
  <x:c r="B74" i="1"/>
  <x:c r="H74" i="1"/>
  <x:c r="J74" i="1"/>
  <x:c r="B75" i="1"/>
  <x:c r="H75" i="1"/>
  <x:c r="J75" i="1"/>
  <x:c r="F77" i="1"/>
  <x:c r="F78" i="1"/>
  <x:c r="F79" i="1"/>
  <x:c r="F80" i="1"/>
  <x:c r="F81" i="1"/>
  <x:c r="H5" i="10"/>
  <x:c r="I5" i="10"/>
  <x:c r="J5" i="10"/>
  <x:c r="K5" i="10"/>
  <x:c r="H6" i="10"/>
  <x:c r="I6" i="10"/>
  <x:c r="J6" i="10"/>
  <x:c r="K6" i="10"/>
  <x:c r="H7" i="10"/>
  <x:c r="I7" i="10"/>
  <x:c r="J7" i="10"/>
  <x:c r="K7" i="10"/>
  <x:c r="H8" i="10"/>
  <x:c r="I8" i="10"/>
  <x:c r="J8" i="10"/>
  <x:c r="K8" i="10"/>
  <x:c r="H11" i="10"/>
  <x:c r="I11" i="10"/>
  <x:c r="J11" i="10"/>
  <x:c r="K11" i="10"/>
  <x:c r="H12" i="10"/>
  <x:c r="I12" i="10"/>
  <x:c r="J12" i="10"/>
  <x:c r="K12" i="10"/>
  <x:c r="H13" i="10"/>
  <x:c r="I13" i="10"/>
  <x:c r="J13" i="10"/>
  <x:c r="K13" i="10"/>
  <x:c r="H14" i="10"/>
  <x:c r="I14" i="10"/>
  <x:c r="J14" i="10"/>
  <x:c r="K14" i="10"/>
  <x:c r="H17" i="10"/>
  <x:c r="I17" i="10"/>
  <x:c r="J17" i="10"/>
  <x:c r="K17" i="10"/>
  <x:c r="H18" i="10"/>
  <x:c r="I18" i="10"/>
  <x:c r="J18" i="10"/>
  <x:c r="K18" i="10"/>
  <x:c r="R18" i="10"/>
  <x:c r="S18" i="10"/>
  <x:c r="T18" i="10"/>
  <x:c r="W18" i="10"/>
  <x:c r="X18" i="10"/>
  <x:c r="Y18" i="10"/>
  <x:c r="Z18" i="10"/>
  <x:c r="AA18" i="10"/>
  <x:c r="AB18" i="10"/>
  <x:c r="AC18" i="10"/>
  <x:c r="AG18" i="10"/>
  <x:c r="AH18" i="10"/>
  <x:c r="AI18" i="10"/>
  <x:c r="AJ18" i="10"/>
  <x:c r="AK18" i="10"/>
  <x:c r="AL18" i="10"/>
  <x:c r="AM18" i="10"/>
  <x:c r="H19" i="10"/>
  <x:c r="I19" i="10"/>
  <x:c r="J19" i="10"/>
  <x:c r="K19" i="10"/>
  <x:c r="R19" i="10"/>
  <x:c r="S19" i="10"/>
  <x:c r="T19" i="10"/>
  <x:c r="W19" i="10"/>
  <x:c r="X19" i="10"/>
  <x:c r="Y19" i="10"/>
  <x:c r="Z19" i="10"/>
  <x:c r="AA19" i="10"/>
  <x:c r="AB19" i="10"/>
  <x:c r="AC19" i="10"/>
  <x:c r="AG19" i="10"/>
  <x:c r="AH19" i="10"/>
  <x:c r="AI19" i="10"/>
  <x:c r="AJ19" i="10"/>
  <x:c r="AK19" i="10"/>
  <x:c r="AL19" i="10"/>
  <x:c r="AM19" i="10"/>
  <x:c r="H20" i="10"/>
  <x:c r="I20" i="10"/>
  <x:c r="J20" i="10"/>
  <x:c r="K20" i="10"/>
  <x:c r="R20" i="10"/>
  <x:c r="S20" i="10"/>
  <x:c r="T20" i="10"/>
  <x:c r="W20" i="10"/>
  <x:c r="X20" i="10"/>
  <x:c r="Y20" i="10"/>
  <x:c r="Z20" i="10"/>
  <x:c r="AA20" i="10"/>
  <x:c r="AB20" i="10"/>
  <x:c r="AC20" i="10"/>
  <x:c r="AG20" i="10"/>
  <x:c r="AH20" i="10"/>
  <x:c r="AI20" i="10"/>
  <x:c r="AJ20" i="10"/>
  <x:c r="AK20" i="10"/>
  <x:c r="AL20" i="10"/>
  <x:c r="AM20" i="10"/>
  <x:c r="R21" i="10"/>
  <x:c r="S21" i="10"/>
  <x:c r="T21" i="10"/>
  <x:c r="W21" i="10"/>
  <x:c r="X21" i="10"/>
  <x:c r="Y21" i="10"/>
  <x:c r="Z21" i="10"/>
  <x:c r="AA21" i="10"/>
  <x:c r="AB21" i="10"/>
  <x:c r="AC21" i="10"/>
  <x:c r="AG21" i="10"/>
  <x:c r="AH21" i="10"/>
  <x:c r="AI21" i="10"/>
  <x:c r="AJ21" i="10"/>
  <x:c r="AK21" i="10"/>
  <x:c r="AL21" i="10"/>
  <x:c r="AM21" i="10"/>
  <x:c r="Q22" i="10"/>
  <x:c r="R22" i="10"/>
  <x:c r="S22" i="10"/>
  <x:c r="T22" i="10"/>
  <x:c r="W22" i="10"/>
  <x:c r="X22" i="10"/>
  <x:c r="Y22" i="10"/>
  <x:c r="Z22" i="10"/>
  <x:c r="AA22" i="10"/>
  <x:c r="AB22" i="10"/>
  <x:c r="AC22" i="10"/>
  <x:c r="AG22" i="10"/>
  <x:c r="AH22" i="10"/>
  <x:c r="AI22" i="10"/>
  <x:c r="AJ22" i="10"/>
  <x:c r="AK22" i="10"/>
  <x:c r="AL22" i="10"/>
  <x:c r="AM22" i="10"/>
  <x:c r="H23" i="10"/>
  <x:c r="J23" i="10"/>
  <x:c r="R23" i="10"/>
  <x:c r="S23" i="10"/>
  <x:c r="T23" i="10"/>
  <x:c r="W23" i="10"/>
  <x:c r="X23" i="10"/>
  <x:c r="Y23" i="10"/>
  <x:c r="Z23" i="10"/>
  <x:c r="AA23" i="10"/>
  <x:c r="AB23" i="10"/>
  <x:c r="AC23" i="10"/>
  <x:c r="AG23" i="10"/>
  <x:c r="AH23" i="10"/>
  <x:c r="AI23" i="10"/>
  <x:c r="AJ23" i="10"/>
  <x:c r="AK23" i="10"/>
  <x:c r="AL23" i="10"/>
  <x:c r="AM23" i="10"/>
  <x:c r="H24" i="10"/>
  <x:c r="R24" i="10"/>
  <x:c r="S24" i="10"/>
  <x:c r="T24" i="10"/>
  <x:c r="W24" i="10"/>
  <x:c r="X24" i="10"/>
  <x:c r="Y24" i="10"/>
  <x:c r="Z24" i="10"/>
  <x:c r="AA24" i="10"/>
  <x:c r="AB24" i="10"/>
  <x:c r="AC24" i="10"/>
  <x:c r="AG24" i="10"/>
  <x:c r="AH24" i="10"/>
  <x:c r="AI24" i="10"/>
  <x:c r="AJ24" i="10"/>
  <x:c r="AK24" i="10"/>
  <x:c r="AL24" i="10"/>
  <x:c r="AM24" i="10"/>
  <x:c r="R25" i="10"/>
  <x:c r="S25" i="10"/>
  <x:c r="T25" i="10"/>
  <x:c r="W25" i="10"/>
  <x:c r="X25" i="10"/>
  <x:c r="Y25" i="10"/>
  <x:c r="Z25" i="10"/>
  <x:c r="AA25" i="10"/>
  <x:c r="AB25" i="10"/>
  <x:c r="AC25" i="10"/>
  <x:c r="AG25" i="10"/>
  <x:c r="AH25" i="10"/>
  <x:c r="AI25" i="10"/>
  <x:c r="AJ25" i="10"/>
  <x:c r="AK25" i="10"/>
  <x:c r="AL25" i="10"/>
  <x:c r="AM25" i="10"/>
  <x:c r="R26" i="10"/>
  <x:c r="S26" i="10"/>
  <x:c r="T26" i="10"/>
  <x:c r="W26" i="10"/>
  <x:c r="X26" i="10"/>
  <x:c r="Y26" i="10"/>
  <x:c r="Z26" i="10"/>
  <x:c r="AA26" i="10"/>
  <x:c r="AB26" i="10"/>
  <x:c r="AC26" i="10"/>
  <x:c r="AG26" i="10"/>
  <x:c r="AH26" i="10"/>
  <x:c r="AI26" i="10"/>
  <x:c r="AJ26" i="10"/>
  <x:c r="AK26" i="10"/>
  <x:c r="AL26" i="10"/>
  <x:c r="AM26" i="10"/>
  <x:c r="H27" i="10"/>
  <x:c r="J27" i="10"/>
  <x:c r="R28" i="10"/>
  <x:c r="S28" i="10"/>
  <x:c r="T28" i="10"/>
  <x:c r="W28" i="10"/>
  <x:c r="X28" i="10"/>
  <x:c r="Y28" i="10"/>
  <x:c r="Z28" i="10"/>
  <x:c r="AA28" i="10"/>
  <x:c r="AB28" i="10"/>
  <x:c r="AC28" i="10"/>
  <x:c r="AG28" i="10"/>
  <x:c r="AH28" i="10"/>
  <x:c r="AI28" i="10"/>
  <x:c r="AJ28" i="10"/>
  <x:c r="AK28" i="10"/>
  <x:c r="AL28" i="10"/>
  <x:c r="AM28" i="10"/>
  <x:c r="R29" i="10"/>
  <x:c r="S29" i="10"/>
  <x:c r="T29" i="10"/>
  <x:c r="W29" i="10"/>
  <x:c r="X29" i="10"/>
  <x:c r="Y29" i="10"/>
  <x:c r="Z29" i="10"/>
  <x:c r="AA29" i="10"/>
  <x:c r="AB29" i="10"/>
  <x:c r="AC29" i="10"/>
  <x:c r="AG29" i="10"/>
  <x:c r="AH29" i="10"/>
  <x:c r="AI29" i="10"/>
  <x:c r="AJ29" i="10"/>
  <x:c r="AK29" i="10"/>
  <x:c r="AL29" i="10"/>
  <x:c r="AM29" i="10"/>
  <x:c r="H30" i="10"/>
  <x:c r="J30" i="10"/>
  <x:c r="S30" i="10"/>
  <x:c r="T30" i="10"/>
  <x:c r="W30" i="10"/>
  <x:c r="X30" i="10"/>
  <x:c r="Y30" i="10"/>
  <x:c r="Z30" i="10"/>
  <x:c r="AA30" i="10"/>
  <x:c r="AB30" i="10"/>
  <x:c r="AC30" i="10"/>
  <x:c r="AG30" i="10"/>
  <x:c r="AH30" i="10"/>
  <x:c r="AI30" i="10"/>
  <x:c r="AJ30" i="10"/>
  <x:c r="AK30" i="10"/>
  <x:c r="AL30" i="10"/>
  <x:c r="AM30" i="10"/>
  <x:c r="R31" i="10"/>
  <x:c r="S31" i="10"/>
  <x:c r="T31" i="10"/>
  <x:c r="W31" i="10"/>
  <x:c r="X31" i="10"/>
  <x:c r="Y31" i="10"/>
  <x:c r="Z31" i="10"/>
  <x:c r="AA31" i="10"/>
  <x:c r="AB31" i="10"/>
  <x:c r="AC31" i="10"/>
  <x:c r="AG31" i="10"/>
  <x:c r="AH31" i="10"/>
  <x:c r="AI31" i="10"/>
  <x:c r="AJ31" i="10"/>
  <x:c r="AK31" i="10"/>
  <x:c r="AL31" i="10"/>
  <x:c r="AM31" i="10"/>
  <x:c r="R32" i="10"/>
  <x:c r="S32" i="10"/>
  <x:c r="T32" i="10"/>
  <x:c r="W32" i="10"/>
  <x:c r="X32" i="10"/>
  <x:c r="Y32" i="10"/>
  <x:c r="Z32" i="10"/>
  <x:c r="AA32" i="10"/>
  <x:c r="AB32" i="10"/>
  <x:c r="AC32" i="10"/>
  <x:c r="AG32" i="10"/>
  <x:c r="AH32" i="10"/>
  <x:c r="AI32" i="10"/>
  <x:c r="AJ32" i="10"/>
  <x:c r="AK32" i="10"/>
  <x:c r="AL32" i="10"/>
  <x:c r="AM32" i="10"/>
  <x:c r="H33" i="10"/>
  <x:c r="R33" i="10"/>
  <x:c r="S33" i="10"/>
  <x:c r="T33" i="10"/>
  <x:c r="W33" i="10"/>
  <x:c r="X33" i="10"/>
  <x:c r="Y33" i="10"/>
  <x:c r="Z33" i="10"/>
  <x:c r="AA33" i="10"/>
  <x:c r="AB33" i="10"/>
  <x:c r="AC33" i="10"/>
  <x:c r="AG33" i="10"/>
  <x:c r="AH33" i="10"/>
  <x:c r="AI33" i="10"/>
  <x:c r="AJ33" i="10"/>
  <x:c r="AK33" i="10"/>
  <x:c r="AL33" i="10"/>
  <x:c r="AM33" i="10"/>
  <x:c r="R34" i="10"/>
  <x:c r="S34" i="10"/>
  <x:c r="T34" i="10"/>
  <x:c r="W34" i="10"/>
  <x:c r="X34" i="10"/>
  <x:c r="Y34" i="10"/>
  <x:c r="Z34" i="10"/>
  <x:c r="AA34" i="10"/>
  <x:c r="AB34" i="10"/>
  <x:c r="AC34" i="10"/>
  <x:c r="AG34" i="10"/>
  <x:c r="AH34" i="10"/>
  <x:c r="AI34" i="10"/>
  <x:c r="AJ34" i="10"/>
  <x:c r="AK34" i="10"/>
  <x:c r="AL34" i="10"/>
  <x:c r="AM34" i="10"/>
  <x:c r="R35" i="10"/>
  <x:c r="S35" i="10"/>
  <x:c r="T35" i="10"/>
  <x:c r="W35" i="10"/>
  <x:c r="X35" i="10"/>
  <x:c r="Y35" i="10"/>
  <x:c r="Z35" i="10"/>
  <x:c r="AA35" i="10"/>
  <x:c r="AB35" i="10"/>
  <x:c r="AC35" i="10"/>
  <x:c r="AG35" i="10"/>
  <x:c r="AH35" i="10"/>
  <x:c r="AI35" i="10"/>
  <x:c r="AJ35" i="10"/>
  <x:c r="AK35" i="10"/>
  <x:c r="AL35" i="10"/>
  <x:c r="AM35" i="10"/>
  <x:c r="H36" i="10"/>
  <x:c r="I36" i="10"/>
  <x:c r="J36" i="10"/>
  <x:c r="K36" i="10"/>
  <x:c r="R36" i="10"/>
  <x:c r="S36" i="10"/>
  <x:c r="T36" i="10"/>
  <x:c r="W36" i="10"/>
  <x:c r="X36" i="10"/>
  <x:c r="Y36" i="10"/>
  <x:c r="Z36" i="10"/>
  <x:c r="AA36" i="10"/>
  <x:c r="AB36" i="10"/>
  <x:c r="AC36" i="10"/>
  <x:c r="AG36" i="10"/>
  <x:c r="AH36" i="10"/>
  <x:c r="AI36" i="10"/>
  <x:c r="AJ36" i="10"/>
  <x:c r="AK36" i="10"/>
  <x:c r="AL36" i="10"/>
  <x:c r="AM36" i="10"/>
  <x:c r="H37" i="10"/>
  <x:c r="I37" i="10"/>
  <x:c r="J37" i="10"/>
  <x:c r="K37" i="10"/>
  <x:c r="H38" i="10"/>
  <x:c r="I38" i="10"/>
  <x:c r="J38" i="10"/>
  <x:c r="K38" i="10"/>
  <x:c r="S38" i="10"/>
  <x:c r="T38" i="10"/>
  <x:c r="U38" i="10"/>
  <x:c r="W38" i="10"/>
  <x:c r="X38" i="10"/>
  <x:c r="Y38" i="10"/>
  <x:c r="Z38" i="10"/>
  <x:c r="AA38" i="10"/>
  <x:c r="AB38" i="10"/>
  <x:c r="AC38" i="10"/>
  <x:c r="H39" i="10"/>
  <x:c r="I39" i="10"/>
  <x:c r="J39" i="10"/>
  <x:c r="K39" i="10"/>
  <x:c r="W39" i="10"/>
  <x:c r="X39" i="10"/>
  <x:c r="Y39" i="10"/>
  <x:c r="Z39" i="10"/>
  <x:c r="AA39" i="10"/>
  <x:c r="AB39" i="10"/>
  <x:c r="AC39" i="10"/>
  <x:c r="H40" i="10"/>
  <x:c r="I40" i="10"/>
  <x:c r="J40" i="10"/>
  <x:c r="K40" i="10"/>
  <x:c r="W40" i="10"/>
  <x:c r="X40" i="10"/>
  <x:c r="Y40" i="10"/>
  <x:c r="Z40" i="10"/>
  <x:c r="AA40" i="10"/>
  <x:c r="AB40" i="10"/>
  <x:c r="AC40" i="10"/>
  <x:c r="H41" i="10"/>
  <x:c r="I41" i="10"/>
  <x:c r="J41" i="10"/>
  <x:c r="K41" i="10"/>
  <x:c r="W41" i="10"/>
  <x:c r="X41" i="10"/>
  <x:c r="Y41" i="10"/>
  <x:c r="Z41" i="10"/>
  <x:c r="AA41" i="10"/>
  <x:c r="AB41" i="10"/>
  <x:c r="AC41" i="10"/>
  <x:c r="H42" i="10"/>
  <x:c r="I42" i="10"/>
  <x:c r="J42" i="10"/>
  <x:c r="K42" i="10"/>
  <x:c r="W42" i="10"/>
  <x:c r="X42" i="10"/>
  <x:c r="Y42" i="10"/>
  <x:c r="Z42" i="10"/>
  <x:c r="AA42" i="10"/>
  <x:c r="AB42" i="10"/>
  <x:c r="AC42" i="10"/>
  <x:c r="H43" i="10"/>
  <x:c r="I43" i="10"/>
  <x:c r="J43" i="10"/>
  <x:c r="K43" i="10"/>
  <x:c r="H44" i="10"/>
  <x:c r="I44" i="10"/>
  <x:c r="J44" i="10"/>
  <x:c r="K44" i="10"/>
  <x:c r="H45" i="10"/>
  <x:c r="I45" i="10"/>
  <x:c r="J45" i="10"/>
  <x:c r="K45" i="10"/>
  <x:c r="H46" i="10"/>
  <x:c r="I46" i="10"/>
  <x:c r="J46" i="10"/>
  <x:c r="K46" i="10"/>
  <x:c r="H47" i="10"/>
  <x:c r="I47" i="10"/>
  <x:c r="J47" i="10"/>
  <x:c r="K47" i="10"/>
  <x:c r="H48" i="10"/>
  <x:c r="I48" i="10"/>
  <x:c r="J48" i="10"/>
  <x:c r="K48" i="10"/>
  <x:c r="H49" i="10"/>
  <x:c r="I49" i="10"/>
  <x:c r="J49" i="10"/>
  <x:c r="K49" i="10"/>
  <x:c r="H50" i="10"/>
  <x:c r="I50" i="10"/>
  <x:c r="J50" i="10"/>
  <x:c r="K50" i="10"/>
  <x:c r="H53" i="10"/>
  <x:c r="I53" i="10"/>
  <x:c r="J53" i="10"/>
  <x:c r="K53" i="10"/>
  <x:c r="H54" i="10"/>
  <x:c r="I54" i="10"/>
  <x:c r="J54" i="10"/>
  <x:c r="K54" i="10"/>
  <x:c r="H55" i="10"/>
  <x:c r="I55" i="10"/>
  <x:c r="J55" i="10"/>
  <x:c r="K55" i="10"/>
  <x:c r="H56" i="10"/>
  <x:c r="I56" i="10"/>
  <x:c r="J56" i="10"/>
  <x:c r="K56" i="10"/>
  <x:c r="H57" i="10"/>
  <x:c r="I57" i="10"/>
  <x:c r="J57" i="10"/>
  <x:c r="K57" i="10"/>
  <x:c r="H58" i="10"/>
  <x:c r="I58" i="10"/>
  <x:c r="J58" i="10"/>
  <x:c r="K58" i="10"/>
  <x:c r="H59" i="10"/>
  <x:c r="I59" i="10"/>
  <x:c r="J59" i="10"/>
  <x:c r="K59" i="10"/>
  <x:c r="H60" i="10"/>
  <x:c r="I60" i="10"/>
  <x:c r="J60" i="10"/>
  <x:c r="K60" i="10"/>
  <x:c r="H61" i="10"/>
  <x:c r="I61" i="10"/>
  <x:c r="J61" i="10"/>
  <x:c r="K61" i="10"/>
  <x:c r="H62" i="10"/>
  <x:c r="I62" i="10"/>
  <x:c r="J62" i="10"/>
  <x:c r="K62" i="10"/>
  <x:c r="R62" i="10"/>
  <x:c r="S62" i="10"/>
  <x:c r="T62" i="10"/>
  <x:c r="W62" i="10"/>
  <x:c r="X62" i="10"/>
  <x:c r="Y62" i="10"/>
  <x:c r="Z62" i="10"/>
  <x:c r="AA62" i="10"/>
  <x:c r="AB62" i="10"/>
  <x:c r="AC62" i="10"/>
  <x:c r="AG62" i="10"/>
  <x:c r="AH62" i="10"/>
  <x:c r="AI62" i="10"/>
  <x:c r="AJ62" i="10"/>
  <x:c r="AK62" i="10"/>
  <x:c r="AL62" i="10"/>
  <x:c r="AM62" i="10"/>
  <x:c r="H63" i="10"/>
  <x:c r="I63" i="10"/>
  <x:c r="J63" i="10"/>
  <x:c r="K63" i="10"/>
  <x:c r="R63" i="10"/>
  <x:c r="S63" i="10"/>
  <x:c r="T63" i="10"/>
  <x:c r="W63" i="10"/>
  <x:c r="X63" i="10"/>
  <x:c r="Y63" i="10"/>
  <x:c r="Z63" i="10"/>
  <x:c r="AA63" i="10"/>
  <x:c r="AB63" i="10"/>
  <x:c r="AC63" i="10"/>
  <x:c r="AG63" i="10"/>
  <x:c r="AH63" i="10"/>
  <x:c r="AI63" i="10"/>
  <x:c r="AJ63" i="10"/>
  <x:c r="AK63" i="10"/>
  <x:c r="AL63" i="10"/>
  <x:c r="AM63" i="10"/>
  <x:c r="H64" i="10"/>
  <x:c r="I64" i="10"/>
  <x:c r="J64" i="10"/>
  <x:c r="K64" i="10"/>
  <x:c r="R64" i="10"/>
  <x:c r="S64" i="10"/>
  <x:c r="T64" i="10"/>
  <x:c r="W64" i="10"/>
  <x:c r="X64" i="10"/>
  <x:c r="Y64" i="10"/>
  <x:c r="Z64" i="10"/>
  <x:c r="AA64" i="10"/>
  <x:c r="AB64" i="10"/>
  <x:c r="AC64" i="10"/>
  <x:c r="AG64" i="10"/>
  <x:c r="AH64" i="10"/>
  <x:c r="AI64" i="10"/>
  <x:c r="AJ64" i="10"/>
  <x:c r="AK64" i="10"/>
  <x:c r="AL64" i="10"/>
  <x:c r="AM64" i="10"/>
  <x:c r="H65" i="10"/>
  <x:c r="I65" i="10"/>
  <x:c r="J65" i="10"/>
  <x:c r="K65" i="10"/>
  <x:c r="R65" i="10"/>
  <x:c r="S65" i="10"/>
  <x:c r="T65" i="10"/>
  <x:c r="W65" i="10"/>
  <x:c r="X65" i="10"/>
  <x:c r="Y65" i="10"/>
  <x:c r="Z65" i="10"/>
  <x:c r="AA65" i="10"/>
  <x:c r="AB65" i="10"/>
  <x:c r="AC65" i="10"/>
  <x:c r="AG65" i="10"/>
  <x:c r="AH65" i="10"/>
  <x:c r="AI65" i="10"/>
  <x:c r="AJ65" i="10"/>
  <x:c r="AK65" i="10"/>
  <x:c r="AL65" i="10"/>
  <x:c r="AM65" i="10"/>
  <x:c r="H66" i="10"/>
  <x:c r="I66" i="10"/>
  <x:c r="J66" i="10"/>
  <x:c r="K66" i="10"/>
  <x:c r="Q66" i="10"/>
  <x:c r="R66" i="10"/>
  <x:c r="S66" i="10"/>
  <x:c r="T66" i="10"/>
  <x:c r="W66" i="10"/>
  <x:c r="X66" i="10"/>
  <x:c r="Y66" i="10"/>
  <x:c r="Z66" i="10"/>
  <x:c r="AA66" i="10"/>
  <x:c r="AB66" i="10"/>
  <x:c r="AC66" i="10"/>
  <x:c r="AG66" i="10"/>
  <x:c r="AH66" i="10"/>
  <x:c r="AI66" i="10"/>
  <x:c r="AJ66" i="10"/>
  <x:c r="AK66" i="10"/>
  <x:c r="AL66" i="10"/>
  <x:c r="AM66" i="10"/>
  <x:c r="H67" i="10"/>
  <x:c r="I67" i="10"/>
  <x:c r="J67" i="10"/>
  <x:c r="K67" i="10"/>
  <x:c r="R67" i="10"/>
  <x:c r="S67" i="10"/>
  <x:c r="T67" i="10"/>
  <x:c r="W67" i="10"/>
  <x:c r="X67" i="10"/>
  <x:c r="Y67" i="10"/>
  <x:c r="Z67" i="10"/>
  <x:c r="AA67" i="10"/>
  <x:c r="AB67" i="10"/>
  <x:c r="AC67" i="10"/>
  <x:c r="AG67" i="10"/>
  <x:c r="AH67" i="10"/>
  <x:c r="AI67" i="10"/>
  <x:c r="AJ67" i="10"/>
  <x:c r="AK67" i="10"/>
  <x:c r="AL67" i="10"/>
  <x:c r="AM67" i="10"/>
  <x:c r="R68" i="10"/>
  <x:c r="S68" i="10"/>
  <x:c r="T68" i="10"/>
  <x:c r="W68" i="10"/>
  <x:c r="X68" i="10"/>
  <x:c r="Y68" i="10"/>
  <x:c r="Z68" i="10"/>
  <x:c r="AA68" i="10"/>
  <x:c r="AB68" i="10"/>
  <x:c r="AC68" i="10"/>
  <x:c r="AG68" i="10"/>
  <x:c r="AH68" i="10"/>
  <x:c r="AI68" i="10"/>
  <x:c r="AJ68" i="10"/>
  <x:c r="AK68" i="10"/>
  <x:c r="AL68" i="10"/>
  <x:c r="AM68" i="10"/>
  <x:c r="R69" i="10"/>
  <x:c r="S69" i="10"/>
  <x:c r="T69" i="10"/>
  <x:c r="W69" i="10"/>
  <x:c r="X69" i="10"/>
  <x:c r="Y69" i="10"/>
  <x:c r="Z69" i="10"/>
  <x:c r="AA69" i="10"/>
  <x:c r="AB69" i="10"/>
  <x:c r="AC69" i="10"/>
  <x:c r="AG69" i="10"/>
  <x:c r="AH69" i="10"/>
  <x:c r="AI69" i="10"/>
  <x:c r="AJ69" i="10"/>
  <x:c r="AK69" i="10"/>
  <x:c r="AL69" i="10"/>
  <x:c r="AM69" i="10"/>
  <x:c r="H70" i="10"/>
  <x:c r="J70" i="10"/>
  <x:c r="R70" i="10"/>
  <x:c r="S70" i="10"/>
  <x:c r="T70" i="10"/>
  <x:c r="W70" i="10"/>
  <x:c r="X70" i="10"/>
  <x:c r="Y70" i="10"/>
  <x:c r="Z70" i="10"/>
  <x:c r="AA70" i="10"/>
  <x:c r="AB70" i="10"/>
  <x:c r="AC70" i="10"/>
  <x:c r="AG70" i="10"/>
  <x:c r="AH70" i="10"/>
  <x:c r="AI70" i="10"/>
  <x:c r="AJ70" i="10"/>
  <x:c r="AK70" i="10"/>
  <x:c r="AL70" i="10"/>
  <x:c r="AM70" i="10"/>
  <x:c r="R72" i="10"/>
  <x:c r="S72" i="10"/>
  <x:c r="T72" i="10"/>
  <x:c r="W72" i="10"/>
  <x:c r="X72" i="10"/>
  <x:c r="Y72" i="10"/>
  <x:c r="Z72" i="10"/>
  <x:c r="AA72" i="10"/>
  <x:c r="AB72" i="10"/>
  <x:c r="AC72" i="10"/>
  <x:c r="AG72" i="10"/>
  <x:c r="AH72" i="10"/>
  <x:c r="AI72" i="10"/>
  <x:c r="AJ72" i="10"/>
  <x:c r="AK72" i="10"/>
  <x:c r="AL72" i="10"/>
  <x:c r="AM72" i="10"/>
  <x:c r="H73" i="10"/>
  <x:c r="J73" i="10"/>
  <x:c r="R73" i="10"/>
  <x:c r="S73" i="10"/>
  <x:c r="T73" i="10"/>
  <x:c r="W73" i="10"/>
  <x:c r="X73" i="10"/>
  <x:c r="Y73" i="10"/>
  <x:c r="Z73" i="10"/>
  <x:c r="AA73" i="10"/>
  <x:c r="AB73" i="10"/>
  <x:c r="AC73" i="10"/>
  <x:c r="AG73" i="10"/>
  <x:c r="AH73" i="10"/>
  <x:c r="AI73" i="10"/>
  <x:c r="AJ73" i="10"/>
  <x:c r="AK73" i="10"/>
  <x:c r="AL73" i="10"/>
  <x:c r="AM73" i="10"/>
  <x:c r="H74" i="10"/>
  <x:c r="J74" i="10"/>
  <x:c r="S74" i="10"/>
  <x:c r="T74" i="10"/>
  <x:c r="W74" i="10"/>
  <x:c r="X74" i="10"/>
  <x:c r="Y74" i="10"/>
  <x:c r="Z74" i="10"/>
  <x:c r="AA74" i="10"/>
  <x:c r="AB74" i="10"/>
  <x:c r="AC74" i="10"/>
  <x:c r="AG74" i="10"/>
  <x:c r="AH74" i="10"/>
  <x:c r="AI74" i="10"/>
  <x:c r="AJ74" i="10"/>
  <x:c r="AK74" i="10"/>
  <x:c r="AL74" i="10"/>
  <x:c r="AM74" i="10"/>
  <x:c r="H75" i="10"/>
  <x:c r="J75" i="10"/>
  <x:c r="R75" i="10"/>
  <x:c r="S75" i="10"/>
  <x:c r="T75" i="10"/>
  <x:c r="W75" i="10"/>
  <x:c r="X75" i="10"/>
  <x:c r="Y75" i="10"/>
  <x:c r="Z75" i="10"/>
  <x:c r="AA75" i="10"/>
  <x:c r="AB75" i="10"/>
  <x:c r="AC75" i="10"/>
  <x:c r="AG75" i="10"/>
  <x:c r="AH75" i="10"/>
  <x:c r="AI75" i="10"/>
  <x:c r="AJ75" i="10"/>
  <x:c r="AK75" i="10"/>
  <x:c r="AL75" i="10"/>
  <x:c r="AM75" i="10"/>
  <x:c r="R76" i="10"/>
  <x:c r="S76" i="10"/>
  <x:c r="T76" i="10"/>
  <x:c r="W76" i="10"/>
  <x:c r="X76" i="10"/>
  <x:c r="Y76" i="10"/>
  <x:c r="Z76" i="10"/>
  <x:c r="AA76" i="10"/>
  <x:c r="AB76" i="10"/>
  <x:c r="AC76" i="10"/>
  <x:c r="AG76" i="10"/>
  <x:c r="AH76" i="10"/>
  <x:c r="AI76" i="10"/>
  <x:c r="AJ76" i="10"/>
  <x:c r="AK76" i="10"/>
  <x:c r="AL76" i="10"/>
  <x:c r="AM76" i="10"/>
  <x:c r="D77" i="10"/>
  <x:c r="R77" i="10"/>
  <x:c r="S77" i="10"/>
  <x:c r="T77" i="10"/>
  <x:c r="W77" i="10"/>
  <x:c r="X77" i="10"/>
  <x:c r="Y77" i="10"/>
  <x:c r="Z77" i="10"/>
  <x:c r="AA77" i="10"/>
  <x:c r="AB77" i="10"/>
  <x:c r="AC77" i="10"/>
  <x:c r="AG77" i="10"/>
  <x:c r="AH77" i="10"/>
  <x:c r="AI77" i="10"/>
  <x:c r="AJ77" i="10"/>
  <x:c r="AK77" i="10"/>
  <x:c r="AL77" i="10"/>
  <x:c r="AM77" i="10"/>
  <x:c r="R78" i="10"/>
  <x:c r="S78" i="10"/>
  <x:c r="T78" i="10"/>
  <x:c r="W78" i="10"/>
  <x:c r="X78" i="10"/>
  <x:c r="Y78" i="10"/>
  <x:c r="Z78" i="10"/>
  <x:c r="AA78" i="10"/>
  <x:c r="AB78" i="10"/>
  <x:c r="AC78" i="10"/>
  <x:c r="AG78" i="10"/>
  <x:c r="AH78" i="10"/>
  <x:c r="AI78" i="10"/>
  <x:c r="AJ78" i="10"/>
  <x:c r="AK78" i="10"/>
  <x:c r="AL78" i="10"/>
  <x:c r="AM78" i="10"/>
  <x:c r="R79" i="10"/>
  <x:c r="S79" i="10"/>
  <x:c r="T79" i="10"/>
  <x:c r="W79" i="10"/>
  <x:c r="X79" i="10"/>
  <x:c r="Y79" i="10"/>
  <x:c r="Z79" i="10"/>
  <x:c r="AA79" i="10"/>
  <x:c r="AB79" i="10"/>
  <x:c r="AC79" i="10"/>
  <x:c r="AG79" i="10"/>
  <x:c r="AH79" i="10"/>
  <x:c r="AI79" i="10"/>
  <x:c r="AJ79" i="10"/>
  <x:c r="AK79" i="10"/>
  <x:c r="AL79" i="10"/>
  <x:c r="AM79" i="10"/>
  <x:c r="R80" i="10"/>
  <x:c r="S80" i="10"/>
  <x:c r="T80" i="10"/>
  <x:c r="W80" i="10"/>
  <x:c r="X80" i="10"/>
  <x:c r="Y80" i="10"/>
  <x:c r="Z80" i="10"/>
  <x:c r="AA80" i="10"/>
  <x:c r="AB80" i="10"/>
  <x:c r="AC80" i="10"/>
  <x:c r="AG80" i="10"/>
  <x:c r="AH80" i="10"/>
  <x:c r="AI80" i="10"/>
  <x:c r="AJ80" i="10"/>
  <x:c r="AK80" i="10"/>
  <x:c r="AL80" i="10"/>
  <x:c r="AM80" i="10"/>
  <x:c r="S82" i="10"/>
  <x:c r="T82" i="10"/>
  <x:c r="U82" i="10"/>
  <x:c r="W82" i="10"/>
  <x:c r="X82" i="10"/>
  <x:c r="Y82" i="10"/>
  <x:c r="Z82" i="10"/>
  <x:c r="AA82" i="10"/>
  <x:c r="AB82" i="10"/>
  <x:c r="AC82" i="10"/>
  <x:c r="W83" i="10"/>
  <x:c r="X83" i="10"/>
  <x:c r="Y83" i="10"/>
  <x:c r="Z83" i="10"/>
  <x:c r="AA83" i="10"/>
  <x:c r="AB83" i="10"/>
  <x:c r="AC83" i="10"/>
  <x:c r="W84" i="10"/>
  <x:c r="X84" i="10"/>
  <x:c r="Y84" i="10"/>
  <x:c r="Z84" i="10"/>
  <x:c r="AA84" i="10"/>
  <x:c r="AB84" i="10"/>
  <x:c r="AC84" i="10"/>
  <x:c r="W85" i="10"/>
  <x:c r="X85" i="10"/>
  <x:c r="Y85" i="10"/>
  <x:c r="Z85" i="10"/>
  <x:c r="AA85" i="10"/>
  <x:c r="AB85" i="10"/>
  <x:c r="AC85" i="10"/>
  <x:c r="W86" i="10"/>
  <x:c r="X86" i="10"/>
  <x:c r="Y86" i="10"/>
  <x:c r="Z86" i="10"/>
  <x:c r="AA86" i="10"/>
  <x:c r="AB86" i="10"/>
  <x:c r="AC86" i="10"/>
  <x:c r="H5" i="14"/>
  <x:c r="I5" i="14"/>
  <x:c r="J5" i="14"/>
  <x:c r="K5" i="14"/>
  <x:c r="H6" i="14"/>
  <x:c r="I6" i="14"/>
  <x:c r="J6" i="14"/>
  <x:c r="K6" i="14"/>
  <x:c r="H7" i="14"/>
  <x:c r="I7" i="14"/>
  <x:c r="J7" i="14"/>
  <x:c r="K7" i="14"/>
  <x:c r="H8" i="14"/>
  <x:c r="I8" i="14"/>
  <x:c r="J8" i="14"/>
  <x:c r="K8" i="14"/>
  <x:c r="H11" i="14"/>
  <x:c r="I11" i="14"/>
  <x:c r="J11" i="14"/>
  <x:c r="K11" i="14"/>
  <x:c r="H12" i="14"/>
  <x:c r="I12" i="14"/>
  <x:c r="J12" i="14"/>
  <x:c r="K12" i="14"/>
  <x:c r="H13" i="14"/>
  <x:c r="I13" i="14"/>
  <x:c r="J13" i="14"/>
  <x:c r="K13" i="14"/>
  <x:c r="H14" i="14"/>
  <x:c r="I14" i="14"/>
  <x:c r="J14" i="14"/>
  <x:c r="K14" i="14"/>
  <x:c r="H17" i="14"/>
  <x:c r="I17" i="14"/>
  <x:c r="J17" i="14"/>
  <x:c r="K17" i="14"/>
  <x:c r="H18" i="14"/>
  <x:c r="I18" i="14"/>
  <x:c r="J18" i="14"/>
  <x:c r="K18" i="14"/>
  <x:c r="R18" i="14"/>
  <x:c r="S18" i="14"/>
  <x:c r="T18" i="14"/>
  <x:c r="W18" i="14"/>
  <x:c r="X18" i="14"/>
  <x:c r="Y18" i="14"/>
  <x:c r="Z18" i="14"/>
  <x:c r="AA18" i="14"/>
  <x:c r="AB18" i="14"/>
  <x:c r="AC18" i="14"/>
  <x:c r="AG18" i="14"/>
  <x:c r="AH18" i="14"/>
  <x:c r="AI18" i="14"/>
  <x:c r="AJ18" i="14"/>
  <x:c r="AK18" i="14"/>
  <x:c r="AL18" i="14"/>
  <x:c r="AM18" i="14"/>
  <x:c r="H19" i="14"/>
  <x:c r="I19" i="14"/>
  <x:c r="J19" i="14"/>
  <x:c r="K19" i="14"/>
  <x:c r="R19" i="14"/>
  <x:c r="S19" i="14"/>
  <x:c r="T19" i="14"/>
  <x:c r="W19" i="14"/>
  <x:c r="X19" i="14"/>
  <x:c r="Y19" i="14"/>
  <x:c r="Z19" i="14"/>
  <x:c r="AA19" i="14"/>
  <x:c r="AB19" i="14"/>
  <x:c r="AC19" i="14"/>
  <x:c r="AG19" i="14"/>
  <x:c r="AH19" i="14"/>
  <x:c r="AI19" i="14"/>
  <x:c r="AJ19" i="14"/>
  <x:c r="AK19" i="14"/>
  <x:c r="AL19" i="14"/>
  <x:c r="AM19" i="14"/>
  <x:c r="H20" i="14"/>
  <x:c r="I20" i="14"/>
  <x:c r="J20" i="14"/>
  <x:c r="K20" i="14"/>
  <x:c r="R20" i="14"/>
  <x:c r="S20" i="14"/>
  <x:c r="T20" i="14"/>
  <x:c r="W20" i="14"/>
  <x:c r="X20" i="14"/>
  <x:c r="Y20" i="14"/>
  <x:c r="Z20" i="14"/>
  <x:c r="AA20" i="14"/>
  <x:c r="AB20" i="14"/>
  <x:c r="AC20" i="14"/>
  <x:c r="AG20" i="14"/>
  <x:c r="AH20" i="14"/>
  <x:c r="AI20" i="14"/>
  <x:c r="AJ20" i="14"/>
  <x:c r="AK20" i="14"/>
  <x:c r="AL20" i="14"/>
  <x:c r="AM20" i="14"/>
  <x:c r="R21" i="14"/>
  <x:c r="S21" i="14"/>
  <x:c r="T21" i="14"/>
  <x:c r="W21" i="14"/>
  <x:c r="X21" i="14"/>
  <x:c r="Y21" i="14"/>
  <x:c r="Z21" i="14"/>
  <x:c r="AA21" i="14"/>
  <x:c r="AB21" i="14"/>
  <x:c r="AC21" i="14"/>
  <x:c r="AG21" i="14"/>
  <x:c r="AH21" i="14"/>
  <x:c r="AI21" i="14"/>
  <x:c r="AJ21" i="14"/>
  <x:c r="AK21" i="14"/>
  <x:c r="AL21" i="14"/>
  <x:c r="AM21" i="14"/>
  <x:c r="Q22" i="14"/>
  <x:c r="R22" i="14"/>
  <x:c r="S22" i="14"/>
  <x:c r="T22" i="14"/>
  <x:c r="W22" i="14"/>
  <x:c r="X22" i="14"/>
  <x:c r="Y22" i="14"/>
  <x:c r="Z22" i="14"/>
  <x:c r="AA22" i="14"/>
  <x:c r="AB22" i="14"/>
  <x:c r="AC22" i="14"/>
  <x:c r="AG22" i="14"/>
  <x:c r="AH22" i="14"/>
  <x:c r="AI22" i="14"/>
  <x:c r="AJ22" i="14"/>
  <x:c r="AK22" i="14"/>
  <x:c r="AL22" i="14"/>
  <x:c r="AM22" i="14"/>
  <x:c r="H23" i="14"/>
  <x:c r="J23" i="14"/>
  <x:c r="R23" i="14"/>
  <x:c r="S23" i="14"/>
  <x:c r="T23" i="14"/>
  <x:c r="W23" i="14"/>
  <x:c r="X23" i="14"/>
  <x:c r="Y23" i="14"/>
  <x:c r="Z23" i="14"/>
  <x:c r="AA23" i="14"/>
  <x:c r="AB23" i="14"/>
  <x:c r="AC23" i="14"/>
  <x:c r="AG23" i="14"/>
  <x:c r="AH23" i="14"/>
  <x:c r="AI23" i="14"/>
  <x:c r="AJ23" i="14"/>
  <x:c r="AK23" i="14"/>
  <x:c r="AL23" i="14"/>
  <x:c r="AM23" i="14"/>
  <x:c r="H24" i="14"/>
  <x:c r="R24" i="14"/>
  <x:c r="S24" i="14"/>
  <x:c r="T24" i="14"/>
  <x:c r="W24" i="14"/>
  <x:c r="X24" i="14"/>
  <x:c r="Y24" i="14"/>
  <x:c r="Z24" i="14"/>
  <x:c r="AA24" i="14"/>
  <x:c r="AB24" i="14"/>
  <x:c r="AC24" i="14"/>
  <x:c r="AG24" i="14"/>
  <x:c r="AH24" i="14"/>
  <x:c r="AI24" i="14"/>
  <x:c r="AJ24" i="14"/>
  <x:c r="AK24" i="14"/>
  <x:c r="AL24" i="14"/>
  <x:c r="AM24" i="14"/>
  <x:c r="R25" i="14"/>
  <x:c r="S25" i="14"/>
  <x:c r="T25" i="14"/>
  <x:c r="W25" i="14"/>
  <x:c r="X25" i="14"/>
  <x:c r="Y25" i="14"/>
  <x:c r="Z25" i="14"/>
  <x:c r="AA25" i="14"/>
  <x:c r="AB25" i="14"/>
  <x:c r="AC25" i="14"/>
  <x:c r="AG25" i="14"/>
  <x:c r="AH25" i="14"/>
  <x:c r="AI25" i="14"/>
  <x:c r="AJ25" i="14"/>
  <x:c r="AK25" i="14"/>
  <x:c r="AL25" i="14"/>
  <x:c r="AM25" i="14"/>
  <x:c r="R26" i="14"/>
  <x:c r="S26" i="14"/>
  <x:c r="T26" i="14"/>
  <x:c r="W26" i="14"/>
  <x:c r="X26" i="14"/>
  <x:c r="Y26" i="14"/>
  <x:c r="Z26" i="14"/>
  <x:c r="AA26" i="14"/>
  <x:c r="AB26" i="14"/>
  <x:c r="AC26" i="14"/>
  <x:c r="AG26" i="14"/>
  <x:c r="AH26" i="14"/>
  <x:c r="AI26" i="14"/>
  <x:c r="AJ26" i="14"/>
  <x:c r="AK26" i="14"/>
  <x:c r="AL26" i="14"/>
  <x:c r="AM26" i="14"/>
  <x:c r="H27" i="14"/>
  <x:c r="J27" i="14"/>
  <x:c r="R28" i="14"/>
  <x:c r="S28" i="14"/>
  <x:c r="T28" i="14"/>
  <x:c r="W28" i="14"/>
  <x:c r="X28" i="14"/>
  <x:c r="Y28" i="14"/>
  <x:c r="Z28" i="14"/>
  <x:c r="AA28" i="14"/>
  <x:c r="AB28" i="14"/>
  <x:c r="AC28" i="14"/>
  <x:c r="AG28" i="14"/>
  <x:c r="AH28" i="14"/>
  <x:c r="AI28" i="14"/>
  <x:c r="AJ28" i="14"/>
  <x:c r="AK28" i="14"/>
  <x:c r="AL28" i="14"/>
  <x:c r="AM28" i="14"/>
  <x:c r="R29" i="14"/>
  <x:c r="S29" i="14"/>
  <x:c r="T29" i="14"/>
  <x:c r="W29" i="14"/>
  <x:c r="X29" i="14"/>
  <x:c r="Y29" i="14"/>
  <x:c r="Z29" i="14"/>
  <x:c r="AA29" i="14"/>
  <x:c r="AB29" i="14"/>
  <x:c r="AC29" i="14"/>
  <x:c r="AG29" i="14"/>
  <x:c r="AH29" i="14"/>
  <x:c r="AI29" i="14"/>
  <x:c r="AJ29" i="14"/>
  <x:c r="AK29" i="14"/>
  <x:c r="AL29" i="14"/>
  <x:c r="AM29" i="14"/>
  <x:c r="H30" i="14"/>
  <x:c r="J30" i="14"/>
  <x:c r="S30" i="14"/>
  <x:c r="T30" i="14"/>
  <x:c r="W30" i="14"/>
  <x:c r="X30" i="14"/>
  <x:c r="Y30" i="14"/>
  <x:c r="Z30" i="14"/>
  <x:c r="AA30" i="14"/>
  <x:c r="AB30" i="14"/>
  <x:c r="AC30" i="14"/>
  <x:c r="AG30" i="14"/>
  <x:c r="AH30" i="14"/>
  <x:c r="AI30" i="14"/>
  <x:c r="AJ30" i="14"/>
  <x:c r="AK30" i="14"/>
  <x:c r="AL30" i="14"/>
  <x:c r="AM30" i="14"/>
  <x:c r="R31" i="14"/>
  <x:c r="S31" i="14"/>
  <x:c r="T31" i="14"/>
  <x:c r="W31" i="14"/>
  <x:c r="X31" i="14"/>
  <x:c r="Y31" i="14"/>
  <x:c r="Z31" i="14"/>
  <x:c r="AA31" i="14"/>
  <x:c r="AB31" i="14"/>
  <x:c r="AC31" i="14"/>
  <x:c r="AG31" i="14"/>
  <x:c r="AH31" i="14"/>
  <x:c r="AI31" i="14"/>
  <x:c r="AJ31" i="14"/>
  <x:c r="AK31" i="14"/>
  <x:c r="AL31" i="14"/>
  <x:c r="AM31" i="14"/>
  <x:c r="R32" i="14"/>
  <x:c r="S32" i="14"/>
  <x:c r="T32" i="14"/>
  <x:c r="W32" i="14"/>
  <x:c r="X32" i="14"/>
  <x:c r="Y32" i="14"/>
  <x:c r="Z32" i="14"/>
  <x:c r="AA32" i="14"/>
  <x:c r="AB32" i="14"/>
  <x:c r="AC32" i="14"/>
  <x:c r="AG32" i="14"/>
  <x:c r="AH32" i="14"/>
  <x:c r="AI32" i="14"/>
  <x:c r="AJ32" i="14"/>
  <x:c r="AK32" i="14"/>
  <x:c r="AL32" i="14"/>
  <x:c r="AM32" i="14"/>
  <x:c r="H33" i="14"/>
  <x:c r="R33" i="14"/>
  <x:c r="S33" i="14"/>
  <x:c r="T33" i="14"/>
  <x:c r="W33" i="14"/>
  <x:c r="X33" i="14"/>
  <x:c r="Y33" i="14"/>
  <x:c r="Z33" i="14"/>
  <x:c r="AA33" i="14"/>
  <x:c r="AB33" i="14"/>
  <x:c r="AC33" i="14"/>
  <x:c r="AG33" i="14"/>
  <x:c r="AH33" i="14"/>
  <x:c r="AI33" i="14"/>
  <x:c r="AJ33" i="14"/>
  <x:c r="AK33" i="14"/>
  <x:c r="AL33" i="14"/>
  <x:c r="AM33" i="14"/>
  <x:c r="R34" i="14"/>
  <x:c r="S34" i="14"/>
  <x:c r="T34" i="14"/>
  <x:c r="W34" i="14"/>
  <x:c r="X34" i="14"/>
  <x:c r="Y34" i="14"/>
  <x:c r="Z34" i="14"/>
  <x:c r="AA34" i="14"/>
  <x:c r="AB34" i="14"/>
  <x:c r="AC34" i="14"/>
  <x:c r="AG34" i="14"/>
  <x:c r="AH34" i="14"/>
  <x:c r="AI34" i="14"/>
  <x:c r="AJ34" i="14"/>
  <x:c r="AK34" i="14"/>
  <x:c r="AL34" i="14"/>
  <x:c r="AM34" i="14"/>
  <x:c r="R35" i="14"/>
  <x:c r="S35" i="14"/>
  <x:c r="T35" i="14"/>
  <x:c r="W35" i="14"/>
  <x:c r="X35" i="14"/>
  <x:c r="Y35" i="14"/>
  <x:c r="Z35" i="14"/>
  <x:c r="AA35" i="14"/>
  <x:c r="AB35" i="14"/>
  <x:c r="AC35" i="14"/>
  <x:c r="AG35" i="14"/>
  <x:c r="AH35" i="14"/>
  <x:c r="AI35" i="14"/>
  <x:c r="AJ35" i="14"/>
  <x:c r="AK35" i="14"/>
  <x:c r="AL35" i="14"/>
  <x:c r="AM35" i="14"/>
  <x:c r="H36" i="14"/>
  <x:c r="I36" i="14"/>
  <x:c r="J36" i="14"/>
  <x:c r="K36" i="14"/>
  <x:c r="R36" i="14"/>
  <x:c r="S36" i="14"/>
  <x:c r="T36" i="14"/>
  <x:c r="W36" i="14"/>
  <x:c r="X36" i="14"/>
  <x:c r="Y36" i="14"/>
  <x:c r="Z36" i="14"/>
  <x:c r="AA36" i="14"/>
  <x:c r="AB36" i="14"/>
  <x:c r="AC36" i="14"/>
  <x:c r="AG36" i="14"/>
  <x:c r="AH36" i="14"/>
  <x:c r="AI36" i="14"/>
  <x:c r="AJ36" i="14"/>
  <x:c r="AK36" i="14"/>
  <x:c r="AL36" i="14"/>
  <x:c r="AM36" i="14"/>
  <x:c r="H37" i="14"/>
  <x:c r="I37" i="14"/>
  <x:c r="J37" i="14"/>
  <x:c r="K37" i="14"/>
  <x:c r="H38" i="14"/>
  <x:c r="I38" i="14"/>
  <x:c r="J38" i="14"/>
  <x:c r="K38" i="14"/>
  <x:c r="S38" i="14"/>
  <x:c r="T38" i="14"/>
  <x:c r="U38" i="14"/>
  <x:c r="W38" i="14"/>
  <x:c r="X38" i="14"/>
  <x:c r="Y38" i="14"/>
  <x:c r="Z38" i="14"/>
  <x:c r="AA38" i="14"/>
  <x:c r="AB38" i="14"/>
  <x:c r="AC38" i="14"/>
  <x:c r="H39" i="14"/>
  <x:c r="I39" i="14"/>
  <x:c r="J39" i="14"/>
  <x:c r="K39" i="14"/>
  <x:c r="W39" i="14"/>
  <x:c r="X39" i="14"/>
  <x:c r="Y39" i="14"/>
  <x:c r="Z39" i="14"/>
  <x:c r="AA39" i="14"/>
  <x:c r="AB39" i="14"/>
  <x:c r="AC39" i="14"/>
  <x:c r="H40" i="14"/>
  <x:c r="I40" i="14"/>
  <x:c r="J40" i="14"/>
  <x:c r="K40" i="14"/>
  <x:c r="W40" i="14"/>
  <x:c r="X40" i="14"/>
  <x:c r="Y40" i="14"/>
  <x:c r="Z40" i="14"/>
  <x:c r="AA40" i="14"/>
  <x:c r="AB40" i="14"/>
  <x:c r="AC40" i="14"/>
  <x:c r="H41" i="14"/>
  <x:c r="I41" i="14"/>
  <x:c r="J41" i="14"/>
  <x:c r="K41" i="14"/>
  <x:c r="W41" i="14"/>
  <x:c r="X41" i="14"/>
  <x:c r="Y41" i="14"/>
  <x:c r="Z41" i="14"/>
  <x:c r="AA41" i="14"/>
  <x:c r="AB41" i="14"/>
  <x:c r="AC41" i="14"/>
  <x:c r="H42" i="14"/>
  <x:c r="I42" i="14"/>
  <x:c r="J42" i="14"/>
  <x:c r="K42" i="14"/>
  <x:c r="W42" i="14"/>
  <x:c r="X42" i="14"/>
  <x:c r="Y42" i="14"/>
  <x:c r="Z42" i="14"/>
  <x:c r="AA42" i="14"/>
  <x:c r="AB42" i="14"/>
  <x:c r="AC42" i="14"/>
  <x:c r="H43" i="14"/>
  <x:c r="I43" i="14"/>
  <x:c r="J43" i="14"/>
  <x:c r="K43" i="14"/>
  <x:c r="H44" i="14"/>
  <x:c r="I44" i="14"/>
  <x:c r="J44" i="14"/>
  <x:c r="K44" i="14"/>
  <x:c r="H45" i="14"/>
  <x:c r="I45" i="14"/>
  <x:c r="J45" i="14"/>
  <x:c r="K45" i="14"/>
  <x:c r="H46" i="14"/>
  <x:c r="I46" i="14"/>
  <x:c r="J46" i="14"/>
  <x:c r="K46" i="14"/>
  <x:c r="H47" i="14"/>
  <x:c r="I47" i="14"/>
  <x:c r="J47" i="14"/>
  <x:c r="K47" i="14"/>
  <x:c r="H48" i="14"/>
  <x:c r="I48" i="14"/>
  <x:c r="J48" i="14"/>
  <x:c r="K48" i="14"/>
  <x:c r="H49" i="14"/>
  <x:c r="I49" i="14"/>
  <x:c r="J49" i="14"/>
  <x:c r="K49" i="14"/>
  <x:c r="H50" i="14"/>
  <x:c r="I50" i="14"/>
  <x:c r="J50" i="14"/>
  <x:c r="K50" i="14"/>
  <x:c r="H53" i="14"/>
  <x:c r="I53" i="14"/>
  <x:c r="J53" i="14"/>
  <x:c r="K53" i="14"/>
  <x:c r="H54" i="14"/>
  <x:c r="I54" i="14"/>
  <x:c r="J54" i="14"/>
  <x:c r="K54" i="14"/>
  <x:c r="H55" i="14"/>
  <x:c r="I55" i="14"/>
  <x:c r="J55" i="14"/>
  <x:c r="K55" i="14"/>
  <x:c r="H56" i="14"/>
  <x:c r="I56" i="14"/>
  <x:c r="J56" i="14"/>
  <x:c r="K56" i="14"/>
  <x:c r="H57" i="14"/>
  <x:c r="I57" i="14"/>
  <x:c r="J57" i="14"/>
  <x:c r="K57" i="14"/>
  <x:c r="H58" i="14"/>
  <x:c r="I58" i="14"/>
  <x:c r="J58" i="14"/>
  <x:c r="K58" i="14"/>
  <x:c r="H59" i="14"/>
  <x:c r="I59" i="14"/>
  <x:c r="J59" i="14"/>
  <x:c r="K59" i="14"/>
  <x:c r="H60" i="14"/>
  <x:c r="I60" i="14"/>
  <x:c r="J60" i="14"/>
  <x:c r="K60" i="14"/>
  <x:c r="H61" i="14"/>
  <x:c r="I61" i="14"/>
  <x:c r="J61" i="14"/>
  <x:c r="K61" i="14"/>
  <x:c r="H62" i="14"/>
  <x:c r="I62" i="14"/>
  <x:c r="J62" i="14"/>
  <x:c r="K62" i="14"/>
  <x:c r="R62" i="14"/>
  <x:c r="S62" i="14"/>
  <x:c r="T62" i="14"/>
  <x:c r="W62" i="14"/>
  <x:c r="X62" i="14"/>
  <x:c r="Y62" i="14"/>
  <x:c r="Z62" i="14"/>
  <x:c r="AA62" i="14"/>
  <x:c r="AB62" i="14"/>
  <x:c r="AC62" i="14"/>
  <x:c r="AG62" i="14"/>
  <x:c r="AH62" i="14"/>
  <x:c r="AI62" i="14"/>
  <x:c r="AJ62" i="14"/>
  <x:c r="AK62" i="14"/>
  <x:c r="AL62" i="14"/>
  <x:c r="AM62" i="14"/>
  <x:c r="H63" i="14"/>
  <x:c r="I63" i="14"/>
  <x:c r="J63" i="14"/>
  <x:c r="K63" i="14"/>
  <x:c r="R63" i="14"/>
  <x:c r="S63" i="14"/>
  <x:c r="T63" i="14"/>
  <x:c r="W63" i="14"/>
  <x:c r="X63" i="14"/>
  <x:c r="Y63" i="14"/>
  <x:c r="Z63" i="14"/>
  <x:c r="AA63" i="14"/>
  <x:c r="AB63" i="14"/>
  <x:c r="AC63" i="14"/>
  <x:c r="AG63" i="14"/>
  <x:c r="AH63" i="14"/>
  <x:c r="AI63" i="14"/>
  <x:c r="AJ63" i="14"/>
  <x:c r="AK63" i="14"/>
  <x:c r="AL63" i="14"/>
  <x:c r="AM63" i="14"/>
  <x:c r="H64" i="14"/>
  <x:c r="I64" i="14"/>
  <x:c r="J64" i="14"/>
  <x:c r="K64" i="14"/>
  <x:c r="R64" i="14"/>
  <x:c r="S64" i="14"/>
  <x:c r="T64" i="14"/>
  <x:c r="W64" i="14"/>
  <x:c r="X64" i="14"/>
  <x:c r="Y64" i="14"/>
  <x:c r="Z64" i="14"/>
  <x:c r="AA64" i="14"/>
  <x:c r="AB64" i="14"/>
  <x:c r="AC64" i="14"/>
  <x:c r="AG64" i="14"/>
  <x:c r="AH64" i="14"/>
  <x:c r="AI64" i="14"/>
  <x:c r="AJ64" i="14"/>
  <x:c r="AK64" i="14"/>
  <x:c r="AL64" i="14"/>
  <x:c r="AM64" i="14"/>
  <x:c r="H65" i="14"/>
  <x:c r="I65" i="14"/>
  <x:c r="J65" i="14"/>
  <x:c r="K65" i="14"/>
  <x:c r="R65" i="14"/>
  <x:c r="S65" i="14"/>
  <x:c r="T65" i="14"/>
  <x:c r="W65" i="14"/>
  <x:c r="X65" i="14"/>
  <x:c r="Y65" i="14"/>
  <x:c r="Z65" i="14"/>
  <x:c r="AA65" i="14"/>
  <x:c r="AB65" i="14"/>
  <x:c r="AC65" i="14"/>
  <x:c r="AG65" i="14"/>
  <x:c r="AH65" i="14"/>
  <x:c r="AI65" i="14"/>
  <x:c r="AJ65" i="14"/>
  <x:c r="AK65" i="14"/>
  <x:c r="AL65" i="14"/>
  <x:c r="AM65" i="14"/>
  <x:c r="H66" i="14"/>
  <x:c r="I66" i="14"/>
  <x:c r="J66" i="14"/>
  <x:c r="K66" i="14"/>
  <x:c r="Q66" i="14"/>
  <x:c r="R66" i="14"/>
  <x:c r="S66" i="14"/>
  <x:c r="T66" i="14"/>
  <x:c r="W66" i="14"/>
  <x:c r="X66" i="14"/>
  <x:c r="Y66" i="14"/>
  <x:c r="Z66" i="14"/>
  <x:c r="AA66" i="14"/>
  <x:c r="AB66" i="14"/>
  <x:c r="AC66" i="14"/>
  <x:c r="AG66" i="14"/>
  <x:c r="AH66" i="14"/>
  <x:c r="AI66" i="14"/>
  <x:c r="AJ66" i="14"/>
  <x:c r="AK66" i="14"/>
  <x:c r="AL66" i="14"/>
  <x:c r="AM66" i="14"/>
  <x:c r="H67" i="14"/>
  <x:c r="I67" i="14"/>
  <x:c r="J67" i="14"/>
  <x:c r="K67" i="14"/>
  <x:c r="R67" i="14"/>
  <x:c r="S67" i="14"/>
  <x:c r="T67" i="14"/>
  <x:c r="W67" i="14"/>
  <x:c r="X67" i="14"/>
  <x:c r="Y67" i="14"/>
  <x:c r="Z67" i="14"/>
  <x:c r="AA67" i="14"/>
  <x:c r="AB67" i="14"/>
  <x:c r="AC67" i="14"/>
  <x:c r="AG67" i="14"/>
  <x:c r="AH67" i="14"/>
  <x:c r="AI67" i="14"/>
  <x:c r="AJ67" i="14"/>
  <x:c r="AK67" i="14"/>
  <x:c r="AL67" i="14"/>
  <x:c r="AM67" i="14"/>
  <x:c r="R68" i="14"/>
  <x:c r="S68" i="14"/>
  <x:c r="T68" i="14"/>
  <x:c r="W68" i="14"/>
  <x:c r="X68" i="14"/>
  <x:c r="Y68" i="14"/>
  <x:c r="Z68" i="14"/>
  <x:c r="AA68" i="14"/>
  <x:c r="AB68" i="14"/>
  <x:c r="AC68" i="14"/>
  <x:c r="AG68" i="14"/>
  <x:c r="AH68" i="14"/>
  <x:c r="AI68" i="14"/>
  <x:c r="AJ68" i="14"/>
  <x:c r="AK68" i="14"/>
  <x:c r="AL68" i="14"/>
  <x:c r="AM68" i="14"/>
  <x:c r="R69" i="14"/>
  <x:c r="S69" i="14"/>
  <x:c r="T69" i="14"/>
  <x:c r="W69" i="14"/>
  <x:c r="X69" i="14"/>
  <x:c r="Y69" i="14"/>
  <x:c r="Z69" i="14"/>
  <x:c r="AA69" i="14"/>
  <x:c r="AB69" i="14"/>
  <x:c r="AC69" i="14"/>
  <x:c r="AG69" i="14"/>
  <x:c r="AH69" i="14"/>
  <x:c r="AI69" i="14"/>
  <x:c r="AJ69" i="14"/>
  <x:c r="AK69" i="14"/>
  <x:c r="AL69" i="14"/>
  <x:c r="AM69" i="14"/>
  <x:c r="H70" i="14"/>
  <x:c r="J70" i="14"/>
  <x:c r="R70" i="14"/>
  <x:c r="S70" i="14"/>
  <x:c r="T70" i="14"/>
  <x:c r="W70" i="14"/>
  <x:c r="X70" i="14"/>
  <x:c r="Y70" i="14"/>
  <x:c r="Z70" i="14"/>
  <x:c r="AA70" i="14"/>
  <x:c r="AB70" i="14"/>
  <x:c r="AC70" i="14"/>
  <x:c r="AG70" i="14"/>
  <x:c r="AH70" i="14"/>
  <x:c r="AI70" i="14"/>
  <x:c r="AJ70" i="14"/>
  <x:c r="AK70" i="14"/>
  <x:c r="AL70" i="14"/>
  <x:c r="AM70" i="14"/>
  <x:c r="R72" i="14"/>
  <x:c r="S72" i="14"/>
  <x:c r="T72" i="14"/>
  <x:c r="W72" i="14"/>
  <x:c r="X72" i="14"/>
  <x:c r="Y72" i="14"/>
  <x:c r="Z72" i="14"/>
  <x:c r="AA72" i="14"/>
  <x:c r="AB72" i="14"/>
  <x:c r="AC72" i="14"/>
  <x:c r="AG72" i="14"/>
  <x:c r="AH72" i="14"/>
  <x:c r="AI72" i="14"/>
  <x:c r="AJ72" i="14"/>
  <x:c r="AK72" i="14"/>
  <x:c r="AL72" i="14"/>
  <x:c r="AM72" i="14"/>
  <x:c r="H73" i="14"/>
  <x:c r="J73" i="14"/>
  <x:c r="R73" i="14"/>
  <x:c r="S73" i="14"/>
  <x:c r="T73" i="14"/>
  <x:c r="W73" i="14"/>
  <x:c r="X73" i="14"/>
  <x:c r="Y73" i="14"/>
  <x:c r="Z73" i="14"/>
  <x:c r="AA73" i="14"/>
  <x:c r="AB73" i="14"/>
  <x:c r="AC73" i="14"/>
  <x:c r="AG73" i="14"/>
  <x:c r="AH73" i="14"/>
  <x:c r="AI73" i="14"/>
  <x:c r="AJ73" i="14"/>
  <x:c r="AK73" i="14"/>
  <x:c r="AL73" i="14"/>
  <x:c r="AM73" i="14"/>
  <x:c r="H74" i="14"/>
  <x:c r="J74" i="14"/>
  <x:c r="S74" i="14"/>
  <x:c r="T74" i="14"/>
  <x:c r="W74" i="14"/>
  <x:c r="X74" i="14"/>
  <x:c r="Y74" i="14"/>
  <x:c r="Z74" i="14"/>
  <x:c r="AA74" i="14"/>
  <x:c r="AB74" i="14"/>
  <x:c r="AC74" i="14"/>
  <x:c r="AG74" i="14"/>
  <x:c r="AH74" i="14"/>
  <x:c r="AI74" i="14"/>
  <x:c r="AJ74" i="14"/>
  <x:c r="AK74" i="14"/>
  <x:c r="AL74" i="14"/>
  <x:c r="AM74" i="14"/>
  <x:c r="H75" i="14"/>
  <x:c r="J75" i="14"/>
  <x:c r="R75" i="14"/>
  <x:c r="S75" i="14"/>
  <x:c r="T75" i="14"/>
  <x:c r="W75" i="14"/>
  <x:c r="X75" i="14"/>
  <x:c r="Y75" i="14"/>
  <x:c r="Z75" i="14"/>
  <x:c r="AA75" i="14"/>
  <x:c r="AB75" i="14"/>
  <x:c r="AC75" i="14"/>
  <x:c r="AG75" i="14"/>
  <x:c r="AH75" i="14"/>
  <x:c r="AI75" i="14"/>
  <x:c r="AJ75" i="14"/>
  <x:c r="AK75" i="14"/>
  <x:c r="AL75" i="14"/>
  <x:c r="AM75" i="14"/>
  <x:c r="R76" i="14"/>
  <x:c r="S76" i="14"/>
  <x:c r="T76" i="14"/>
  <x:c r="W76" i="14"/>
  <x:c r="X76" i="14"/>
  <x:c r="Y76" i="14"/>
  <x:c r="Z76" i="14"/>
  <x:c r="AA76" i="14"/>
  <x:c r="AB76" i="14"/>
  <x:c r="AC76" i="14"/>
  <x:c r="AG76" i="14"/>
  <x:c r="AH76" i="14"/>
  <x:c r="AI76" i="14"/>
  <x:c r="AJ76" i="14"/>
  <x:c r="AK76" i="14"/>
  <x:c r="AL76" i="14"/>
  <x:c r="AM76" i="14"/>
  <x:c r="D77" i="14"/>
  <x:c r="R77" i="14"/>
  <x:c r="S77" i="14"/>
  <x:c r="T77" i="14"/>
  <x:c r="W77" i="14"/>
  <x:c r="X77" i="14"/>
  <x:c r="Y77" i="14"/>
  <x:c r="Z77" i="14"/>
  <x:c r="AA77" i="14"/>
  <x:c r="AB77" i="14"/>
  <x:c r="AC77" i="14"/>
  <x:c r="AG77" i="14"/>
  <x:c r="AH77" i="14"/>
  <x:c r="AI77" i="14"/>
  <x:c r="AJ77" i="14"/>
  <x:c r="AK77" i="14"/>
  <x:c r="AL77" i="14"/>
  <x:c r="AM77" i="14"/>
  <x:c r="R78" i="14"/>
  <x:c r="S78" i="14"/>
  <x:c r="T78" i="14"/>
  <x:c r="W78" i="14"/>
  <x:c r="X78" i="14"/>
  <x:c r="Y78" i="14"/>
  <x:c r="Z78" i="14"/>
  <x:c r="AA78" i="14"/>
  <x:c r="AB78" i="14"/>
  <x:c r="AC78" i="14"/>
  <x:c r="AG78" i="14"/>
  <x:c r="AH78" i="14"/>
  <x:c r="AI78" i="14"/>
  <x:c r="AJ78" i="14"/>
  <x:c r="AK78" i="14"/>
  <x:c r="AL78" i="14"/>
  <x:c r="AM78" i="14"/>
  <x:c r="R79" i="14"/>
  <x:c r="S79" i="14"/>
  <x:c r="T79" i="14"/>
  <x:c r="W79" i="14"/>
  <x:c r="X79" i="14"/>
  <x:c r="Y79" i="14"/>
  <x:c r="Z79" i="14"/>
  <x:c r="AA79" i="14"/>
  <x:c r="AB79" i="14"/>
  <x:c r="AC79" i="14"/>
  <x:c r="AG79" i="14"/>
  <x:c r="AH79" i="14"/>
  <x:c r="AI79" i="14"/>
  <x:c r="AJ79" i="14"/>
  <x:c r="AK79" i="14"/>
  <x:c r="AL79" i="14"/>
  <x:c r="AM79" i="14"/>
  <x:c r="R80" i="14"/>
  <x:c r="S80" i="14"/>
  <x:c r="T80" i="14"/>
  <x:c r="W80" i="14"/>
  <x:c r="X80" i="14"/>
  <x:c r="Y80" i="14"/>
  <x:c r="Z80" i="14"/>
  <x:c r="AA80" i="14"/>
  <x:c r="AB80" i="14"/>
  <x:c r="AC80" i="14"/>
  <x:c r="AG80" i="14"/>
  <x:c r="AH80" i="14"/>
  <x:c r="AI80" i="14"/>
  <x:c r="AJ80" i="14"/>
  <x:c r="AK80" i="14"/>
  <x:c r="AL80" i="14"/>
  <x:c r="AM80" i="14"/>
  <x:c r="S82" i="14"/>
  <x:c r="T82" i="14"/>
  <x:c r="U82" i="14"/>
  <x:c r="W82" i="14"/>
  <x:c r="X82" i="14"/>
  <x:c r="Y82" i="14"/>
  <x:c r="Z82" i="14"/>
  <x:c r="AA82" i="14"/>
  <x:c r="AB82" i="14"/>
  <x:c r="AC82" i="14"/>
  <x:c r="W83" i="14"/>
  <x:c r="X83" i="14"/>
  <x:c r="Y83" i="14"/>
  <x:c r="Z83" i="14"/>
  <x:c r="AA83" i="14"/>
  <x:c r="AB83" i="14"/>
  <x:c r="AC83" i="14"/>
  <x:c r="W84" i="14"/>
  <x:c r="X84" i="14"/>
  <x:c r="Y84" i="14"/>
  <x:c r="Z84" i="14"/>
  <x:c r="AA84" i="14"/>
  <x:c r="AB84" i="14"/>
  <x:c r="AC84" i="14"/>
  <x:c r="W85" i="14"/>
  <x:c r="X85" i="14"/>
  <x:c r="Y85" i="14"/>
  <x:c r="Z85" i="14"/>
  <x:c r="AA85" i="14"/>
  <x:c r="AB85" i="14"/>
  <x:c r="AC85" i="14"/>
  <x:c r="W86" i="14"/>
  <x:c r="X86" i="14"/>
  <x:c r="Y86" i="14"/>
  <x:c r="Z86" i="14"/>
  <x:c r="AA86" i="14"/>
  <x:c r="AB86" i="14"/>
  <x:c r="AC86" i="14"/>
  <x:c r="H5" i="15"/>
  <x:c r="I5" i="15"/>
  <x:c r="J5" i="15"/>
  <x:c r="K5" i="15"/>
  <x:c r="H6" i="15"/>
  <x:c r="I6" i="15"/>
  <x:c r="J6" i="15"/>
  <x:c r="K6" i="15"/>
  <x:c r="H7" i="15"/>
  <x:c r="I7" i="15"/>
  <x:c r="J7" i="15"/>
  <x:c r="K7" i="15"/>
  <x:c r="H8" i="15"/>
  <x:c r="I8" i="15"/>
  <x:c r="J8" i="15"/>
  <x:c r="K8" i="15"/>
  <x:c r="H11" i="15"/>
  <x:c r="I11" i="15"/>
  <x:c r="J11" i="15"/>
  <x:c r="K11" i="15"/>
  <x:c r="H12" i="15"/>
  <x:c r="I12" i="15"/>
  <x:c r="J12" i="15"/>
  <x:c r="K12" i="15"/>
  <x:c r="H13" i="15"/>
  <x:c r="I13" i="15"/>
  <x:c r="J13" i="15"/>
  <x:c r="K13" i="15"/>
  <x:c r="H14" i="15"/>
  <x:c r="I14" i="15"/>
  <x:c r="J14" i="15"/>
  <x:c r="K14" i="15"/>
  <x:c r="H17" i="15"/>
  <x:c r="I17" i="15"/>
  <x:c r="J17" i="15"/>
  <x:c r="K17" i="15"/>
  <x:c r="H18" i="15"/>
  <x:c r="I18" i="15"/>
  <x:c r="J18" i="15"/>
  <x:c r="K18" i="15"/>
  <x:c r="R18" i="15"/>
  <x:c r="S18" i="15"/>
  <x:c r="T18" i="15"/>
  <x:c r="W18" i="15"/>
  <x:c r="X18" i="15"/>
  <x:c r="Y18" i="15"/>
  <x:c r="Z18" i="15"/>
  <x:c r="AA18" i="15"/>
  <x:c r="AB18" i="15"/>
  <x:c r="AC18" i="15"/>
  <x:c r="AG18" i="15"/>
  <x:c r="AH18" i="15"/>
  <x:c r="AI18" i="15"/>
  <x:c r="AJ18" i="15"/>
  <x:c r="AK18" i="15"/>
  <x:c r="AL18" i="15"/>
  <x:c r="AM18" i="15"/>
  <x:c r="H19" i="15"/>
  <x:c r="I19" i="15"/>
  <x:c r="J19" i="15"/>
  <x:c r="K19" i="15"/>
  <x:c r="R19" i="15"/>
  <x:c r="S19" i="15"/>
  <x:c r="T19" i="15"/>
  <x:c r="W19" i="15"/>
  <x:c r="X19" i="15"/>
  <x:c r="Y19" i="15"/>
  <x:c r="Z19" i="15"/>
  <x:c r="AA19" i="15"/>
  <x:c r="AB19" i="15"/>
  <x:c r="AC19" i="15"/>
  <x:c r="AG19" i="15"/>
  <x:c r="AH19" i="15"/>
  <x:c r="AI19" i="15"/>
  <x:c r="AJ19" i="15"/>
  <x:c r="AK19" i="15"/>
  <x:c r="AL19" i="15"/>
  <x:c r="AM19" i="15"/>
  <x:c r="H20" i="15"/>
  <x:c r="I20" i="15"/>
  <x:c r="J20" i="15"/>
  <x:c r="K20" i="15"/>
  <x:c r="R20" i="15"/>
  <x:c r="S20" i="15"/>
  <x:c r="T20" i="15"/>
  <x:c r="W20" i="15"/>
  <x:c r="X20" i="15"/>
  <x:c r="Y20" i="15"/>
  <x:c r="Z20" i="15"/>
  <x:c r="AA20" i="15"/>
  <x:c r="AB20" i="15"/>
  <x:c r="AC20" i="15"/>
  <x:c r="AG20" i="15"/>
  <x:c r="AH20" i="15"/>
  <x:c r="AI20" i="15"/>
  <x:c r="AJ20" i="15"/>
  <x:c r="AK20" i="15"/>
  <x:c r="AL20" i="15"/>
  <x:c r="AM20" i="15"/>
  <x:c r="R21" i="15"/>
  <x:c r="S21" i="15"/>
  <x:c r="T21" i="15"/>
  <x:c r="W21" i="15"/>
  <x:c r="X21" i="15"/>
  <x:c r="Y21" i="15"/>
  <x:c r="Z21" i="15"/>
  <x:c r="AA21" i="15"/>
  <x:c r="AB21" i="15"/>
  <x:c r="AC21" i="15"/>
  <x:c r="AG21" i="15"/>
  <x:c r="AH21" i="15"/>
  <x:c r="AI21" i="15"/>
  <x:c r="AJ21" i="15"/>
  <x:c r="AK21" i="15"/>
  <x:c r="AL21" i="15"/>
  <x:c r="AM21" i="15"/>
  <x:c r="Q22" i="15"/>
  <x:c r="R22" i="15"/>
  <x:c r="S22" i="15"/>
  <x:c r="T22" i="15"/>
  <x:c r="W22" i="15"/>
  <x:c r="X22" i="15"/>
  <x:c r="Y22" i="15"/>
  <x:c r="Z22" i="15"/>
  <x:c r="AA22" i="15"/>
  <x:c r="AB22" i="15"/>
  <x:c r="AC22" i="15"/>
  <x:c r="AG22" i="15"/>
  <x:c r="AH22" i="15"/>
  <x:c r="AI22" i="15"/>
  <x:c r="AJ22" i="15"/>
  <x:c r="AK22" i="15"/>
  <x:c r="AL22" i="15"/>
  <x:c r="AM22" i="15"/>
  <x:c r="H23" i="15"/>
  <x:c r="J23" i="15"/>
  <x:c r="R23" i="15"/>
  <x:c r="S23" i="15"/>
  <x:c r="T23" i="15"/>
  <x:c r="W23" i="15"/>
  <x:c r="X23" i="15"/>
  <x:c r="Y23" i="15"/>
  <x:c r="Z23" i="15"/>
  <x:c r="AA23" i="15"/>
  <x:c r="AB23" i="15"/>
  <x:c r="AC23" i="15"/>
  <x:c r="AG23" i="15"/>
  <x:c r="AH23" i="15"/>
  <x:c r="AI23" i="15"/>
  <x:c r="AJ23" i="15"/>
  <x:c r="AK23" i="15"/>
  <x:c r="AL23" i="15"/>
  <x:c r="AM23" i="15"/>
  <x:c r="H24" i="15"/>
  <x:c r="R24" i="15"/>
  <x:c r="S24" i="15"/>
  <x:c r="T24" i="15"/>
  <x:c r="W24" i="15"/>
  <x:c r="X24" i="15"/>
  <x:c r="Y24" i="15"/>
  <x:c r="Z24" i="15"/>
  <x:c r="AA24" i="15"/>
  <x:c r="AB24" i="15"/>
  <x:c r="AC24" i="15"/>
  <x:c r="AG24" i="15"/>
  <x:c r="AH24" i="15"/>
  <x:c r="AI24" i="15"/>
  <x:c r="AJ24" i="15"/>
  <x:c r="AK24" i="15"/>
  <x:c r="AL24" i="15"/>
  <x:c r="AM24" i="15"/>
  <x:c r="R25" i="15"/>
  <x:c r="S25" i="15"/>
  <x:c r="T25" i="15"/>
  <x:c r="W25" i="15"/>
  <x:c r="X25" i="15"/>
  <x:c r="Y25" i="15"/>
  <x:c r="Z25" i="15"/>
  <x:c r="AA25" i="15"/>
  <x:c r="AB25" i="15"/>
  <x:c r="AC25" i="15"/>
  <x:c r="AG25" i="15"/>
  <x:c r="AH25" i="15"/>
  <x:c r="AI25" i="15"/>
  <x:c r="AJ25" i="15"/>
  <x:c r="AK25" i="15"/>
  <x:c r="AL25" i="15"/>
  <x:c r="AM25" i="15"/>
  <x:c r="R26" i="15"/>
  <x:c r="S26" i="15"/>
  <x:c r="T26" i="15"/>
  <x:c r="W26" i="15"/>
  <x:c r="X26" i="15"/>
  <x:c r="Y26" i="15"/>
  <x:c r="Z26" i="15"/>
  <x:c r="AA26" i="15"/>
  <x:c r="AB26" i="15"/>
  <x:c r="AC26" i="15"/>
  <x:c r="AG26" i="15"/>
  <x:c r="AH26" i="15"/>
  <x:c r="AI26" i="15"/>
  <x:c r="AJ26" i="15"/>
  <x:c r="AK26" i="15"/>
  <x:c r="AL26" i="15"/>
  <x:c r="AM26" i="15"/>
  <x:c r="H27" i="15"/>
  <x:c r="J27" i="15"/>
  <x:c r="R28" i="15"/>
  <x:c r="S28" i="15"/>
  <x:c r="T28" i="15"/>
  <x:c r="W28" i="15"/>
  <x:c r="X28" i="15"/>
  <x:c r="Y28" i="15"/>
  <x:c r="Z28" i="15"/>
  <x:c r="AA28" i="15"/>
  <x:c r="AB28" i="15"/>
  <x:c r="AC28" i="15"/>
  <x:c r="AG28" i="15"/>
  <x:c r="AH28" i="15"/>
  <x:c r="AI28" i="15"/>
  <x:c r="AJ28" i="15"/>
  <x:c r="AK28" i="15"/>
  <x:c r="AL28" i="15"/>
  <x:c r="AM28" i="15"/>
  <x:c r="R29" i="15"/>
  <x:c r="S29" i="15"/>
  <x:c r="T29" i="15"/>
  <x:c r="W29" i="15"/>
  <x:c r="X29" i="15"/>
  <x:c r="Y29" i="15"/>
  <x:c r="Z29" i="15"/>
  <x:c r="AA29" i="15"/>
  <x:c r="AB29" i="15"/>
  <x:c r="AC29" i="15"/>
  <x:c r="AG29" i="15"/>
  <x:c r="AH29" i="15"/>
  <x:c r="AI29" i="15"/>
  <x:c r="AJ29" i="15"/>
  <x:c r="AK29" i="15"/>
  <x:c r="AL29" i="15"/>
  <x:c r="AM29" i="15"/>
  <x:c r="H30" i="15"/>
  <x:c r="J30" i="15"/>
  <x:c r="S30" i="15"/>
  <x:c r="T30" i="15"/>
  <x:c r="W30" i="15"/>
  <x:c r="X30" i="15"/>
  <x:c r="Y30" i="15"/>
  <x:c r="Z30" i="15"/>
  <x:c r="AA30" i="15"/>
  <x:c r="AB30" i="15"/>
  <x:c r="AC30" i="15"/>
  <x:c r="AG30" i="15"/>
  <x:c r="AH30" i="15"/>
  <x:c r="AI30" i="15"/>
  <x:c r="AJ30" i="15"/>
  <x:c r="AK30" i="15"/>
  <x:c r="AL30" i="15"/>
  <x:c r="AM30" i="15"/>
  <x:c r="R31" i="15"/>
  <x:c r="S31" i="15"/>
  <x:c r="T31" i="15"/>
  <x:c r="W31" i="15"/>
  <x:c r="X31" i="15"/>
  <x:c r="Y31" i="15"/>
  <x:c r="Z31" i="15"/>
  <x:c r="AA31" i="15"/>
  <x:c r="AB31" i="15"/>
  <x:c r="AC31" i="15"/>
  <x:c r="AG31" i="15"/>
  <x:c r="AH31" i="15"/>
  <x:c r="AI31" i="15"/>
  <x:c r="AJ31" i="15"/>
  <x:c r="AK31" i="15"/>
  <x:c r="AL31" i="15"/>
  <x:c r="AM31" i="15"/>
  <x:c r="R32" i="15"/>
  <x:c r="S32" i="15"/>
  <x:c r="T32" i="15"/>
  <x:c r="W32" i="15"/>
  <x:c r="X32" i="15"/>
  <x:c r="Y32" i="15"/>
  <x:c r="Z32" i="15"/>
  <x:c r="AA32" i="15"/>
  <x:c r="AB32" i="15"/>
  <x:c r="AC32" i="15"/>
  <x:c r="AG32" i="15"/>
  <x:c r="AH32" i="15"/>
  <x:c r="AI32" i="15"/>
  <x:c r="AJ32" i="15"/>
  <x:c r="AK32" i="15"/>
  <x:c r="AL32" i="15"/>
  <x:c r="AM32" i="15"/>
  <x:c r="H33" i="15"/>
  <x:c r="R33" i="15"/>
  <x:c r="S33" i="15"/>
  <x:c r="T33" i="15"/>
  <x:c r="W33" i="15"/>
  <x:c r="X33" i="15"/>
  <x:c r="Y33" i="15"/>
  <x:c r="Z33" i="15"/>
  <x:c r="AA33" i="15"/>
  <x:c r="AB33" i="15"/>
  <x:c r="AC33" i="15"/>
  <x:c r="AG33" i="15"/>
  <x:c r="AH33" i="15"/>
  <x:c r="AI33" i="15"/>
  <x:c r="AJ33" i="15"/>
  <x:c r="AK33" i="15"/>
  <x:c r="AL33" i="15"/>
  <x:c r="AM33" i="15"/>
  <x:c r="R34" i="15"/>
  <x:c r="S34" i="15"/>
  <x:c r="T34" i="15"/>
  <x:c r="W34" i="15"/>
  <x:c r="X34" i="15"/>
  <x:c r="Y34" i="15"/>
  <x:c r="Z34" i="15"/>
  <x:c r="AA34" i="15"/>
  <x:c r="AB34" i="15"/>
  <x:c r="AC34" i="15"/>
  <x:c r="AG34" i="15"/>
  <x:c r="AH34" i="15"/>
  <x:c r="AI34" i="15"/>
  <x:c r="AJ34" i="15"/>
  <x:c r="AK34" i="15"/>
  <x:c r="AL34" i="15"/>
  <x:c r="AM34" i="15"/>
  <x:c r="R35" i="15"/>
  <x:c r="S35" i="15"/>
  <x:c r="T35" i="15"/>
  <x:c r="W35" i="15"/>
  <x:c r="X35" i="15"/>
  <x:c r="Y35" i="15"/>
  <x:c r="Z35" i="15"/>
  <x:c r="AA35" i="15"/>
  <x:c r="AB35" i="15"/>
  <x:c r="AC35" i="15"/>
  <x:c r="AG35" i="15"/>
  <x:c r="AH35" i="15"/>
  <x:c r="AI35" i="15"/>
  <x:c r="AJ35" i="15"/>
  <x:c r="AK35" i="15"/>
  <x:c r="AL35" i="15"/>
  <x:c r="AM35" i="15"/>
  <x:c r="H36" i="15"/>
  <x:c r="I36" i="15"/>
  <x:c r="J36" i="15"/>
  <x:c r="K36" i="15"/>
  <x:c r="R36" i="15"/>
  <x:c r="S36" i="15"/>
  <x:c r="T36" i="15"/>
  <x:c r="W36" i="15"/>
  <x:c r="X36" i="15"/>
  <x:c r="Y36" i="15"/>
  <x:c r="Z36" i="15"/>
  <x:c r="AA36" i="15"/>
  <x:c r="AB36" i="15"/>
  <x:c r="AC36" i="15"/>
  <x:c r="AG36" i="15"/>
  <x:c r="AH36" i="15"/>
  <x:c r="AI36" i="15"/>
  <x:c r="AJ36" i="15"/>
  <x:c r="AK36" i="15"/>
  <x:c r="AL36" i="15"/>
  <x:c r="AM36" i="15"/>
  <x:c r="H37" i="15"/>
  <x:c r="I37" i="15"/>
  <x:c r="J37" i="15"/>
  <x:c r="K37" i="15"/>
  <x:c r="H38" i="15"/>
  <x:c r="I38" i="15"/>
  <x:c r="J38" i="15"/>
  <x:c r="K38" i="15"/>
  <x:c r="S38" i="15"/>
  <x:c r="T38" i="15"/>
  <x:c r="U38" i="15"/>
  <x:c r="W38" i="15"/>
  <x:c r="X38" i="15"/>
  <x:c r="Y38" i="15"/>
  <x:c r="Z38" i="15"/>
  <x:c r="AA38" i="15"/>
  <x:c r="AB38" i="15"/>
  <x:c r="AC38" i="15"/>
  <x:c r="H39" i="15"/>
  <x:c r="I39" i="15"/>
  <x:c r="J39" i="15"/>
  <x:c r="K39" i="15"/>
  <x:c r="W39" i="15"/>
  <x:c r="X39" i="15"/>
  <x:c r="Y39" i="15"/>
  <x:c r="Z39" i="15"/>
  <x:c r="AA39" i="15"/>
  <x:c r="AB39" i="15"/>
  <x:c r="AC39" i="15"/>
  <x:c r="H40" i="15"/>
  <x:c r="I40" i="15"/>
  <x:c r="J40" i="15"/>
  <x:c r="K40" i="15"/>
  <x:c r="W40" i="15"/>
  <x:c r="X40" i="15"/>
  <x:c r="Y40" i="15"/>
  <x:c r="Z40" i="15"/>
  <x:c r="AA40" i="15"/>
  <x:c r="AB40" i="15"/>
  <x:c r="AC40" i="15"/>
  <x:c r="H41" i="15"/>
  <x:c r="I41" i="15"/>
  <x:c r="J41" i="15"/>
  <x:c r="K41" i="15"/>
  <x:c r="W41" i="15"/>
  <x:c r="X41" i="15"/>
  <x:c r="Y41" i="15"/>
  <x:c r="Z41" i="15"/>
  <x:c r="AA41" i="15"/>
  <x:c r="AB41" i="15"/>
  <x:c r="AC41" i="15"/>
  <x:c r="H42" i="15"/>
  <x:c r="I42" i="15"/>
  <x:c r="J42" i="15"/>
  <x:c r="K42" i="15"/>
  <x:c r="W42" i="15"/>
  <x:c r="X42" i="15"/>
  <x:c r="Y42" i="15"/>
  <x:c r="Z42" i="15"/>
  <x:c r="AA42" i="15"/>
  <x:c r="AB42" i="15"/>
  <x:c r="AC42" i="15"/>
  <x:c r="H43" i="15"/>
  <x:c r="I43" i="15"/>
  <x:c r="J43" i="15"/>
  <x:c r="K43" i="15"/>
  <x:c r="H44" i="15"/>
  <x:c r="I44" i="15"/>
  <x:c r="J44" i="15"/>
  <x:c r="K44" i="15"/>
  <x:c r="H45" i="15"/>
  <x:c r="I45" i="15"/>
  <x:c r="J45" i="15"/>
  <x:c r="K45" i="15"/>
  <x:c r="H46" i="15"/>
  <x:c r="I46" i="15"/>
  <x:c r="J46" i="15"/>
  <x:c r="K46" i="15"/>
  <x:c r="H47" i="15"/>
  <x:c r="I47" i="15"/>
  <x:c r="J47" i="15"/>
  <x:c r="K47" i="15"/>
  <x:c r="H48" i="15"/>
  <x:c r="I48" i="15"/>
  <x:c r="J48" i="15"/>
  <x:c r="K48" i="15"/>
  <x:c r="H49" i="15"/>
  <x:c r="I49" i="15"/>
  <x:c r="J49" i="15"/>
  <x:c r="K49" i="15"/>
  <x:c r="H50" i="15"/>
  <x:c r="I50" i="15"/>
  <x:c r="J50" i="15"/>
  <x:c r="K50" i="15"/>
  <x:c r="H53" i="15"/>
  <x:c r="I53" i="15"/>
  <x:c r="J53" i="15"/>
  <x:c r="K53" i="15"/>
  <x:c r="H54" i="15"/>
  <x:c r="I54" i="15"/>
  <x:c r="J54" i="15"/>
  <x:c r="K54" i="15"/>
  <x:c r="H55" i="15"/>
  <x:c r="I55" i="15"/>
  <x:c r="J55" i="15"/>
  <x:c r="K55" i="15"/>
  <x:c r="H56" i="15"/>
  <x:c r="I56" i="15"/>
  <x:c r="J56" i="15"/>
  <x:c r="K56" i="15"/>
  <x:c r="H57" i="15"/>
  <x:c r="I57" i="15"/>
  <x:c r="J57" i="15"/>
  <x:c r="K57" i="15"/>
  <x:c r="H58" i="15"/>
  <x:c r="I58" i="15"/>
  <x:c r="J58" i="15"/>
  <x:c r="K58" i="15"/>
  <x:c r="H59" i="15"/>
  <x:c r="I59" i="15"/>
  <x:c r="J59" i="15"/>
  <x:c r="K59" i="15"/>
  <x:c r="H60" i="15"/>
  <x:c r="I60" i="15"/>
  <x:c r="J60" i="15"/>
  <x:c r="K60" i="15"/>
  <x:c r="H61" i="15"/>
  <x:c r="I61" i="15"/>
  <x:c r="J61" i="15"/>
  <x:c r="K61" i="15"/>
  <x:c r="H62" i="15"/>
  <x:c r="I62" i="15"/>
  <x:c r="J62" i="15"/>
  <x:c r="K62" i="15"/>
  <x:c r="R62" i="15"/>
  <x:c r="S62" i="15"/>
  <x:c r="T62" i="15"/>
  <x:c r="W62" i="15"/>
  <x:c r="X62" i="15"/>
  <x:c r="Y62" i="15"/>
  <x:c r="Z62" i="15"/>
  <x:c r="AA62" i="15"/>
  <x:c r="AB62" i="15"/>
  <x:c r="AC62" i="15"/>
  <x:c r="AG62" i="15"/>
  <x:c r="AH62" i="15"/>
  <x:c r="AI62" i="15"/>
  <x:c r="AJ62" i="15"/>
  <x:c r="AK62" i="15"/>
  <x:c r="AL62" i="15"/>
  <x:c r="AM62" i="15"/>
  <x:c r="H63" i="15"/>
  <x:c r="I63" i="15"/>
  <x:c r="J63" i="15"/>
  <x:c r="K63" i="15"/>
  <x:c r="R63" i="15"/>
  <x:c r="S63" i="15"/>
  <x:c r="T63" i="15"/>
  <x:c r="W63" i="15"/>
  <x:c r="X63" i="15"/>
  <x:c r="Y63" i="15"/>
  <x:c r="Z63" i="15"/>
  <x:c r="AA63" i="15"/>
  <x:c r="AB63" i="15"/>
  <x:c r="AC63" i="15"/>
  <x:c r="AG63" i="15"/>
  <x:c r="AH63" i="15"/>
  <x:c r="AI63" i="15"/>
  <x:c r="AJ63" i="15"/>
  <x:c r="AK63" i="15"/>
  <x:c r="AL63" i="15"/>
  <x:c r="AM63" i="15"/>
  <x:c r="H64" i="15"/>
  <x:c r="I64" i="15"/>
  <x:c r="J64" i="15"/>
  <x:c r="K64" i="15"/>
  <x:c r="R64" i="15"/>
  <x:c r="S64" i="15"/>
  <x:c r="T64" i="15"/>
  <x:c r="W64" i="15"/>
  <x:c r="X64" i="15"/>
  <x:c r="Y64" i="15"/>
  <x:c r="Z64" i="15"/>
  <x:c r="AA64" i="15"/>
  <x:c r="AB64" i="15"/>
  <x:c r="AC64" i="15"/>
  <x:c r="AG64" i="15"/>
  <x:c r="AH64" i="15"/>
  <x:c r="AI64" i="15"/>
  <x:c r="AJ64" i="15"/>
  <x:c r="AK64" i="15"/>
  <x:c r="AL64" i="15"/>
  <x:c r="AM64" i="15"/>
  <x:c r="H65" i="15"/>
  <x:c r="I65" i="15"/>
  <x:c r="J65" i="15"/>
  <x:c r="K65" i="15"/>
  <x:c r="R65" i="15"/>
  <x:c r="S65" i="15"/>
  <x:c r="T65" i="15"/>
  <x:c r="W65" i="15"/>
  <x:c r="X65" i="15"/>
  <x:c r="Y65" i="15"/>
  <x:c r="Z65" i="15"/>
  <x:c r="AA65" i="15"/>
  <x:c r="AB65" i="15"/>
  <x:c r="AC65" i="15"/>
  <x:c r="AG65" i="15"/>
  <x:c r="AH65" i="15"/>
  <x:c r="AI65" i="15"/>
  <x:c r="AJ65" i="15"/>
  <x:c r="AK65" i="15"/>
  <x:c r="AL65" i="15"/>
  <x:c r="AM65" i="15"/>
  <x:c r="H66" i="15"/>
  <x:c r="I66" i="15"/>
  <x:c r="J66" i="15"/>
  <x:c r="K66" i="15"/>
  <x:c r="Q66" i="15"/>
  <x:c r="R66" i="15"/>
  <x:c r="S66" i="15"/>
  <x:c r="T66" i="15"/>
  <x:c r="W66" i="15"/>
  <x:c r="X66" i="15"/>
  <x:c r="Y66" i="15"/>
  <x:c r="Z66" i="15"/>
  <x:c r="AA66" i="15"/>
  <x:c r="AB66" i="15"/>
  <x:c r="AC66" i="15"/>
  <x:c r="AG66" i="15"/>
  <x:c r="AH66" i="15"/>
  <x:c r="AI66" i="15"/>
  <x:c r="AJ66" i="15"/>
  <x:c r="AK66" i="15"/>
  <x:c r="AL66" i="15"/>
  <x:c r="AM66" i="15"/>
  <x:c r="H67" i="15"/>
  <x:c r="I67" i="15"/>
  <x:c r="J67" i="15"/>
  <x:c r="K67" i="15"/>
  <x:c r="R67" i="15"/>
  <x:c r="S67" i="15"/>
  <x:c r="T67" i="15"/>
  <x:c r="W67" i="15"/>
  <x:c r="X67" i="15"/>
  <x:c r="Y67" i="15"/>
  <x:c r="Z67" i="15"/>
  <x:c r="AA67" i="15"/>
  <x:c r="AB67" i="15"/>
  <x:c r="AC67" i="15"/>
  <x:c r="AG67" i="15"/>
  <x:c r="AH67" i="15"/>
  <x:c r="AI67" i="15"/>
  <x:c r="AJ67" i="15"/>
  <x:c r="AK67" i="15"/>
  <x:c r="AL67" i="15"/>
  <x:c r="AM67" i="15"/>
  <x:c r="R68" i="15"/>
  <x:c r="S68" i="15"/>
  <x:c r="T68" i="15"/>
  <x:c r="W68" i="15"/>
  <x:c r="X68" i="15"/>
  <x:c r="Y68" i="15"/>
  <x:c r="Z68" i="15"/>
  <x:c r="AA68" i="15"/>
  <x:c r="AB68" i="15"/>
  <x:c r="AC68" i="15"/>
  <x:c r="AG68" i="15"/>
  <x:c r="AH68" i="15"/>
  <x:c r="AI68" i="15"/>
  <x:c r="AJ68" i="15"/>
  <x:c r="AK68" i="15"/>
  <x:c r="AL68" i="15"/>
  <x:c r="AM68" i="15"/>
  <x:c r="R69" i="15"/>
  <x:c r="S69" i="15"/>
  <x:c r="T69" i="15"/>
  <x:c r="W69" i="15"/>
  <x:c r="X69" i="15"/>
  <x:c r="Y69" i="15"/>
  <x:c r="Z69" i="15"/>
  <x:c r="AA69" i="15"/>
  <x:c r="AB69" i="15"/>
  <x:c r="AC69" i="15"/>
  <x:c r="AG69" i="15"/>
  <x:c r="AH69" i="15"/>
  <x:c r="AI69" i="15"/>
  <x:c r="AJ69" i="15"/>
  <x:c r="AK69" i="15"/>
  <x:c r="AL69" i="15"/>
  <x:c r="AM69" i="15"/>
  <x:c r="H70" i="15"/>
  <x:c r="J70" i="15"/>
  <x:c r="R70" i="15"/>
  <x:c r="S70" i="15"/>
  <x:c r="T70" i="15"/>
  <x:c r="W70" i="15"/>
  <x:c r="X70" i="15"/>
  <x:c r="Y70" i="15"/>
  <x:c r="Z70" i="15"/>
  <x:c r="AA70" i="15"/>
  <x:c r="AB70" i="15"/>
  <x:c r="AC70" i="15"/>
  <x:c r="AG70" i="15"/>
  <x:c r="AH70" i="15"/>
  <x:c r="AI70" i="15"/>
  <x:c r="AJ70" i="15"/>
  <x:c r="AK70" i="15"/>
  <x:c r="AL70" i="15"/>
  <x:c r="AM70" i="15"/>
  <x:c r="R72" i="15"/>
  <x:c r="S72" i="15"/>
  <x:c r="T72" i="15"/>
  <x:c r="W72" i="15"/>
  <x:c r="X72" i="15"/>
  <x:c r="Y72" i="15"/>
  <x:c r="Z72" i="15"/>
  <x:c r="AA72" i="15"/>
  <x:c r="AB72" i="15"/>
  <x:c r="AC72" i="15"/>
  <x:c r="AG72" i="15"/>
  <x:c r="AH72" i="15"/>
  <x:c r="AI72" i="15"/>
  <x:c r="AJ72" i="15"/>
  <x:c r="AK72" i="15"/>
  <x:c r="AL72" i="15"/>
  <x:c r="AM72" i="15"/>
  <x:c r="H73" i="15"/>
  <x:c r="J73" i="15"/>
  <x:c r="R73" i="15"/>
  <x:c r="S73" i="15"/>
  <x:c r="T73" i="15"/>
  <x:c r="W73" i="15"/>
  <x:c r="X73" i="15"/>
  <x:c r="Y73" i="15"/>
  <x:c r="Z73" i="15"/>
  <x:c r="AA73" i="15"/>
  <x:c r="AB73" i="15"/>
  <x:c r="AC73" i="15"/>
  <x:c r="AG73" i="15"/>
  <x:c r="AH73" i="15"/>
  <x:c r="AI73" i="15"/>
  <x:c r="AJ73" i="15"/>
  <x:c r="AK73" i="15"/>
  <x:c r="AL73" i="15"/>
  <x:c r="AM73" i="15"/>
  <x:c r="H74" i="15"/>
  <x:c r="J74" i="15"/>
  <x:c r="S74" i="15"/>
  <x:c r="T74" i="15"/>
  <x:c r="W74" i="15"/>
  <x:c r="X74" i="15"/>
  <x:c r="Y74" i="15"/>
  <x:c r="Z74" i="15"/>
  <x:c r="AA74" i="15"/>
  <x:c r="AB74" i="15"/>
  <x:c r="AC74" i="15"/>
  <x:c r="AG74" i="15"/>
  <x:c r="AH74" i="15"/>
  <x:c r="AI74" i="15"/>
  <x:c r="AJ74" i="15"/>
  <x:c r="AK74" i="15"/>
  <x:c r="AL74" i="15"/>
  <x:c r="AM74" i="15"/>
  <x:c r="H75" i="15"/>
  <x:c r="J75" i="15"/>
  <x:c r="R75" i="15"/>
  <x:c r="S75" i="15"/>
  <x:c r="T75" i="15"/>
  <x:c r="W75" i="15"/>
  <x:c r="X75" i="15"/>
  <x:c r="Y75" i="15"/>
  <x:c r="Z75" i="15"/>
  <x:c r="AA75" i="15"/>
  <x:c r="AB75" i="15"/>
  <x:c r="AC75" i="15"/>
  <x:c r="AG75" i="15"/>
  <x:c r="AH75" i="15"/>
  <x:c r="AI75" i="15"/>
  <x:c r="AJ75" i="15"/>
  <x:c r="AK75" i="15"/>
  <x:c r="AL75" i="15"/>
  <x:c r="AM75" i="15"/>
  <x:c r="R76" i="15"/>
  <x:c r="S76" i="15"/>
  <x:c r="T76" i="15"/>
  <x:c r="W76" i="15"/>
  <x:c r="X76" i="15"/>
  <x:c r="Y76" i="15"/>
  <x:c r="Z76" i="15"/>
  <x:c r="AA76" i="15"/>
  <x:c r="AB76" i="15"/>
  <x:c r="AC76" i="15"/>
  <x:c r="AG76" i="15"/>
  <x:c r="AH76" i="15"/>
  <x:c r="AI76" i="15"/>
  <x:c r="AJ76" i="15"/>
  <x:c r="AK76" i="15"/>
  <x:c r="AL76" i="15"/>
  <x:c r="AM76" i="15"/>
  <x:c r="D77" i="15"/>
  <x:c r="R77" i="15"/>
  <x:c r="S77" i="15"/>
  <x:c r="T77" i="15"/>
  <x:c r="W77" i="15"/>
  <x:c r="X77" i="15"/>
  <x:c r="Y77" i="15"/>
  <x:c r="Z77" i="15"/>
  <x:c r="AA77" i="15"/>
  <x:c r="AB77" i="15"/>
  <x:c r="AC77" i="15"/>
  <x:c r="AG77" i="15"/>
  <x:c r="AH77" i="15"/>
  <x:c r="AI77" i="15"/>
  <x:c r="AJ77" i="15"/>
  <x:c r="AK77" i="15"/>
  <x:c r="AL77" i="15"/>
  <x:c r="AM77" i="15"/>
  <x:c r="R78" i="15"/>
  <x:c r="S78" i="15"/>
  <x:c r="T78" i="15"/>
  <x:c r="W78" i="15"/>
  <x:c r="X78" i="15"/>
  <x:c r="Y78" i="15"/>
  <x:c r="Z78" i="15"/>
  <x:c r="AA78" i="15"/>
  <x:c r="AB78" i="15"/>
  <x:c r="AC78" i="15"/>
  <x:c r="AG78" i="15"/>
  <x:c r="AH78" i="15"/>
  <x:c r="AI78" i="15"/>
  <x:c r="AJ78" i="15"/>
  <x:c r="AK78" i="15"/>
  <x:c r="AL78" i="15"/>
  <x:c r="AM78" i="15"/>
  <x:c r="R79" i="15"/>
  <x:c r="S79" i="15"/>
  <x:c r="T79" i="15"/>
  <x:c r="W79" i="15"/>
  <x:c r="X79" i="15"/>
  <x:c r="Y79" i="15"/>
  <x:c r="Z79" i="15"/>
  <x:c r="AA79" i="15"/>
  <x:c r="AB79" i="15"/>
  <x:c r="AC79" i="15"/>
  <x:c r="AG79" i="15"/>
  <x:c r="AH79" i="15"/>
  <x:c r="AI79" i="15"/>
  <x:c r="AJ79" i="15"/>
  <x:c r="AK79" i="15"/>
  <x:c r="AL79" i="15"/>
  <x:c r="AM79" i="15"/>
  <x:c r="R80" i="15"/>
  <x:c r="S80" i="15"/>
  <x:c r="T80" i="15"/>
  <x:c r="W80" i="15"/>
  <x:c r="X80" i="15"/>
  <x:c r="Y80" i="15"/>
  <x:c r="Z80" i="15"/>
  <x:c r="AA80" i="15"/>
  <x:c r="AB80" i="15"/>
  <x:c r="AC80" i="15"/>
  <x:c r="AG80" i="15"/>
  <x:c r="AH80" i="15"/>
  <x:c r="AI80" i="15"/>
  <x:c r="AJ80" i="15"/>
  <x:c r="AK80" i="15"/>
  <x:c r="AL80" i="15"/>
  <x:c r="AM80" i="15"/>
  <x:c r="S82" i="15"/>
  <x:c r="T82" i="15"/>
  <x:c r="U82" i="15"/>
  <x:c r="W82" i="15"/>
  <x:c r="X82" i="15"/>
  <x:c r="Y82" i="15"/>
  <x:c r="Z82" i="15"/>
  <x:c r="AA82" i="15"/>
  <x:c r="AB82" i="15"/>
  <x:c r="AC82" i="15"/>
  <x:c r="W83" i="15"/>
  <x:c r="X83" i="15"/>
  <x:c r="Y83" i="15"/>
  <x:c r="Z83" i="15"/>
  <x:c r="AA83" i="15"/>
  <x:c r="AB83" i="15"/>
  <x:c r="AC83" i="15"/>
  <x:c r="W84" i="15"/>
  <x:c r="X84" i="15"/>
  <x:c r="Y84" i="15"/>
  <x:c r="Z84" i="15"/>
  <x:c r="AA84" i="15"/>
  <x:c r="AB84" i="15"/>
  <x:c r="AC84" i="15"/>
  <x:c r="W85" i="15"/>
  <x:c r="X85" i="15"/>
  <x:c r="Y85" i="15"/>
  <x:c r="Z85" i="15"/>
  <x:c r="AA85" i="15"/>
  <x:c r="AB85" i="15"/>
  <x:c r="AC85" i="15"/>
  <x:c r="W86" i="15"/>
  <x:c r="X86" i="15"/>
  <x:c r="Y86" i="15"/>
  <x:c r="Z86" i="15"/>
  <x:c r="AA86" i="15"/>
  <x:c r="AB86" i="15"/>
  <x:c r="AC86" i="15"/>
  <x:c r="H5" i="16"/>
  <x:c r="I5" i="16"/>
  <x:c r="J5" i="16"/>
  <x:c r="K5" i="16"/>
  <x:c r="H6" i="16"/>
  <x:c r="I6" i="16"/>
  <x:c r="J6" i="16"/>
  <x:c r="K6" i="16"/>
  <x:c r="H7" i="16"/>
  <x:c r="I7" i="16"/>
  <x:c r="J7" i="16"/>
  <x:c r="K7" i="16"/>
  <x:c r="H8" i="16"/>
  <x:c r="I8" i="16"/>
  <x:c r="J8" i="16"/>
  <x:c r="K8" i="16"/>
  <x:c r="H11" i="16"/>
  <x:c r="I11" i="16"/>
  <x:c r="J11" i="16"/>
  <x:c r="K11" i="16"/>
  <x:c r="H12" i="16"/>
  <x:c r="I12" i="16"/>
  <x:c r="J12" i="16"/>
  <x:c r="K12" i="16"/>
  <x:c r="H13" i="16"/>
  <x:c r="I13" i="16"/>
  <x:c r="J13" i="16"/>
  <x:c r="K13" i="16"/>
  <x:c r="H14" i="16"/>
  <x:c r="I14" i="16"/>
  <x:c r="J14" i="16"/>
  <x:c r="K14" i="16"/>
  <x:c r="H17" i="16"/>
  <x:c r="I17" i="16"/>
  <x:c r="J17" i="16"/>
  <x:c r="K17" i="16"/>
  <x:c r="H18" i="16"/>
  <x:c r="I18" i="16"/>
  <x:c r="J18" i="16"/>
  <x:c r="K18" i="16"/>
  <x:c r="R18" i="16"/>
  <x:c r="S18" i="16"/>
  <x:c r="T18" i="16"/>
  <x:c r="W18" i="16"/>
  <x:c r="X18" i="16"/>
  <x:c r="Y18" i="16"/>
  <x:c r="Z18" i="16"/>
  <x:c r="AA18" i="16"/>
  <x:c r="AB18" i="16"/>
  <x:c r="AC18" i="16"/>
  <x:c r="AG18" i="16"/>
  <x:c r="AH18" i="16"/>
  <x:c r="AI18" i="16"/>
  <x:c r="AJ18" i="16"/>
  <x:c r="AK18" i="16"/>
  <x:c r="AL18" i="16"/>
  <x:c r="AM18" i="16"/>
  <x:c r="H19" i="16"/>
  <x:c r="I19" i="16"/>
  <x:c r="J19" i="16"/>
  <x:c r="K19" i="16"/>
  <x:c r="R19" i="16"/>
  <x:c r="S19" i="16"/>
  <x:c r="T19" i="16"/>
  <x:c r="W19" i="16"/>
  <x:c r="X19" i="16"/>
  <x:c r="Y19" i="16"/>
  <x:c r="Z19" i="16"/>
  <x:c r="AA19" i="16"/>
  <x:c r="AB19" i="16"/>
  <x:c r="AC19" i="16"/>
  <x:c r="AG19" i="16"/>
  <x:c r="AH19" i="16"/>
  <x:c r="AI19" i="16"/>
  <x:c r="AJ19" i="16"/>
  <x:c r="AK19" i="16"/>
  <x:c r="AL19" i="16"/>
  <x:c r="AM19" i="16"/>
  <x:c r="H20" i="16"/>
  <x:c r="I20" i="16"/>
  <x:c r="J20" i="16"/>
  <x:c r="K20" i="16"/>
  <x:c r="R20" i="16"/>
  <x:c r="S20" i="16"/>
  <x:c r="T20" i="16"/>
  <x:c r="W20" i="16"/>
  <x:c r="X20" i="16"/>
  <x:c r="Y20" i="16"/>
  <x:c r="Z20" i="16"/>
  <x:c r="AA20" i="16"/>
  <x:c r="AB20" i="16"/>
  <x:c r="AC20" i="16"/>
  <x:c r="AG20" i="16"/>
  <x:c r="AH20" i="16"/>
  <x:c r="AI20" i="16"/>
  <x:c r="AJ20" i="16"/>
  <x:c r="AK20" i="16"/>
  <x:c r="AL20" i="16"/>
  <x:c r="AM20" i="16"/>
  <x:c r="R21" i="16"/>
  <x:c r="S21" i="16"/>
  <x:c r="T21" i="16"/>
  <x:c r="W21" i="16"/>
  <x:c r="X21" i="16"/>
  <x:c r="Y21" i="16"/>
  <x:c r="Z21" i="16"/>
  <x:c r="AA21" i="16"/>
  <x:c r="AB21" i="16"/>
  <x:c r="AC21" i="16"/>
  <x:c r="AG21" i="16"/>
  <x:c r="AH21" i="16"/>
  <x:c r="AI21" i="16"/>
  <x:c r="AJ21" i="16"/>
  <x:c r="AK21" i="16"/>
  <x:c r="AL21" i="16"/>
  <x:c r="AM21" i="16"/>
  <x:c r="Q22" i="16"/>
  <x:c r="R22" i="16"/>
  <x:c r="S22" i="16"/>
  <x:c r="T22" i="16"/>
  <x:c r="W22" i="16"/>
  <x:c r="X22" i="16"/>
  <x:c r="Y22" i="16"/>
  <x:c r="Z22" i="16"/>
  <x:c r="AA22" i="16"/>
  <x:c r="AB22" i="16"/>
  <x:c r="AC22" i="16"/>
  <x:c r="AG22" i="16"/>
  <x:c r="AH22" i="16"/>
  <x:c r="AI22" i="16"/>
  <x:c r="AJ22" i="16"/>
  <x:c r="AK22" i="16"/>
  <x:c r="AL22" i="16"/>
  <x:c r="AM22" i="16"/>
  <x:c r="H23" i="16"/>
  <x:c r="J23" i="16"/>
  <x:c r="R23" i="16"/>
  <x:c r="S23" i="16"/>
  <x:c r="T23" i="16"/>
  <x:c r="W23" i="16"/>
  <x:c r="X23" i="16"/>
  <x:c r="Y23" i="16"/>
  <x:c r="Z23" i="16"/>
  <x:c r="AA23" i="16"/>
  <x:c r="AB23" i="16"/>
  <x:c r="AC23" i="16"/>
  <x:c r="AG23" i="16"/>
  <x:c r="AH23" i="16"/>
  <x:c r="AI23" i="16"/>
  <x:c r="AJ23" i="16"/>
  <x:c r="AK23" i="16"/>
  <x:c r="AL23" i="16"/>
  <x:c r="AM23" i="16"/>
  <x:c r="H24" i="16"/>
  <x:c r="R24" i="16"/>
  <x:c r="S24" i="16"/>
  <x:c r="T24" i="16"/>
  <x:c r="W24" i="16"/>
  <x:c r="X24" i="16"/>
  <x:c r="Y24" i="16"/>
  <x:c r="Z24" i="16"/>
  <x:c r="AA24" i="16"/>
  <x:c r="AB24" i="16"/>
  <x:c r="AC24" i="16"/>
  <x:c r="AG24" i="16"/>
  <x:c r="AH24" i="16"/>
  <x:c r="AI24" i="16"/>
  <x:c r="AJ24" i="16"/>
  <x:c r="AK24" i="16"/>
  <x:c r="AL24" i="16"/>
  <x:c r="AM24" i="16"/>
  <x:c r="R25" i="16"/>
  <x:c r="S25" i="16"/>
  <x:c r="T25" i="16"/>
  <x:c r="W25" i="16"/>
  <x:c r="X25" i="16"/>
  <x:c r="Y25" i="16"/>
  <x:c r="Z25" i="16"/>
  <x:c r="AA25" i="16"/>
  <x:c r="AB25" i="16"/>
  <x:c r="AC25" i="16"/>
  <x:c r="AG25" i="16"/>
  <x:c r="AH25" i="16"/>
  <x:c r="AI25" i="16"/>
  <x:c r="AJ25" i="16"/>
  <x:c r="AK25" i="16"/>
  <x:c r="AL25" i="16"/>
  <x:c r="AM25" i="16"/>
  <x:c r="R26" i="16"/>
  <x:c r="S26" i="16"/>
  <x:c r="T26" i="16"/>
  <x:c r="W26" i="16"/>
  <x:c r="X26" i="16"/>
  <x:c r="Y26" i="16"/>
  <x:c r="Z26" i="16"/>
  <x:c r="AA26" i="16"/>
  <x:c r="AB26" i="16"/>
  <x:c r="AC26" i="16"/>
  <x:c r="AG26" i="16"/>
  <x:c r="AH26" i="16"/>
  <x:c r="AI26" i="16"/>
  <x:c r="AJ26" i="16"/>
  <x:c r="AK26" i="16"/>
  <x:c r="AL26" i="16"/>
  <x:c r="AM26" i="16"/>
  <x:c r="H27" i="16"/>
  <x:c r="J27" i="16"/>
  <x:c r="R28" i="16"/>
  <x:c r="S28" i="16"/>
  <x:c r="T28" i="16"/>
  <x:c r="W28" i="16"/>
  <x:c r="X28" i="16"/>
  <x:c r="Y28" i="16"/>
  <x:c r="Z28" i="16"/>
  <x:c r="AA28" i="16"/>
  <x:c r="AB28" i="16"/>
  <x:c r="AC28" i="16"/>
  <x:c r="AG28" i="16"/>
  <x:c r="AH28" i="16"/>
  <x:c r="AI28" i="16"/>
  <x:c r="AJ28" i="16"/>
  <x:c r="AK28" i="16"/>
  <x:c r="AL28" i="16"/>
  <x:c r="AM28" i="16"/>
  <x:c r="R29" i="16"/>
  <x:c r="S29" i="16"/>
  <x:c r="T29" i="16"/>
  <x:c r="W29" i="16"/>
  <x:c r="X29" i="16"/>
  <x:c r="Y29" i="16"/>
  <x:c r="Z29" i="16"/>
  <x:c r="AA29" i="16"/>
  <x:c r="AB29" i="16"/>
  <x:c r="AC29" i="16"/>
  <x:c r="AG29" i="16"/>
  <x:c r="AH29" i="16"/>
  <x:c r="AI29" i="16"/>
  <x:c r="AJ29" i="16"/>
  <x:c r="AK29" i="16"/>
  <x:c r="AL29" i="16"/>
  <x:c r="AM29" i="16"/>
  <x:c r="H30" i="16"/>
  <x:c r="J30" i="16"/>
  <x:c r="S30" i="16"/>
  <x:c r="T30" i="16"/>
  <x:c r="W30" i="16"/>
  <x:c r="X30" i="16"/>
  <x:c r="Y30" i="16"/>
  <x:c r="Z30" i="16"/>
  <x:c r="AA30" i="16"/>
  <x:c r="AB30" i="16"/>
  <x:c r="AC30" i="16"/>
  <x:c r="AG30" i="16"/>
  <x:c r="AH30" i="16"/>
  <x:c r="AI30" i="16"/>
  <x:c r="AJ30" i="16"/>
  <x:c r="AK30" i="16"/>
  <x:c r="AL30" i="16"/>
  <x:c r="AM30" i="16"/>
  <x:c r="R31" i="16"/>
  <x:c r="S31" i="16"/>
  <x:c r="T31" i="16"/>
  <x:c r="W31" i="16"/>
  <x:c r="X31" i="16"/>
  <x:c r="Y31" i="16"/>
  <x:c r="Z31" i="16"/>
  <x:c r="AA31" i="16"/>
  <x:c r="AB31" i="16"/>
  <x:c r="AC31" i="16"/>
  <x:c r="AG31" i="16"/>
  <x:c r="AH31" i="16"/>
  <x:c r="AI31" i="16"/>
  <x:c r="AJ31" i="16"/>
  <x:c r="AK31" i="16"/>
  <x:c r="AL31" i="16"/>
  <x:c r="AM31" i="16"/>
  <x:c r="R32" i="16"/>
  <x:c r="S32" i="16"/>
  <x:c r="T32" i="16"/>
  <x:c r="W32" i="16"/>
  <x:c r="X32" i="16"/>
  <x:c r="Y32" i="16"/>
  <x:c r="Z32" i="16"/>
  <x:c r="AA32" i="16"/>
  <x:c r="AB32" i="16"/>
  <x:c r="AC32" i="16"/>
  <x:c r="AG32" i="16"/>
  <x:c r="AH32" i="16"/>
  <x:c r="AI32" i="16"/>
  <x:c r="AJ32" i="16"/>
  <x:c r="AK32" i="16"/>
  <x:c r="AL32" i="16"/>
  <x:c r="AM32" i="16"/>
  <x:c r="H33" i="16"/>
  <x:c r="R33" i="16"/>
  <x:c r="S33" i="16"/>
  <x:c r="T33" i="16"/>
  <x:c r="W33" i="16"/>
  <x:c r="X33" i="16"/>
  <x:c r="Y33" i="16"/>
  <x:c r="Z33" i="16"/>
  <x:c r="AA33" i="16"/>
  <x:c r="AB33" i="16"/>
  <x:c r="AC33" i="16"/>
  <x:c r="AG33" i="16"/>
  <x:c r="AH33" i="16"/>
  <x:c r="AI33" i="16"/>
  <x:c r="AJ33" i="16"/>
  <x:c r="AK33" i="16"/>
  <x:c r="AL33" i="16"/>
  <x:c r="AM33" i="16"/>
  <x:c r="R34" i="16"/>
  <x:c r="S34" i="16"/>
  <x:c r="T34" i="16"/>
  <x:c r="W34" i="16"/>
  <x:c r="X34" i="16"/>
  <x:c r="Y34" i="16"/>
  <x:c r="Z34" i="16"/>
  <x:c r="AA34" i="16"/>
  <x:c r="AB34" i="16"/>
  <x:c r="AC34" i="16"/>
  <x:c r="AG34" i="16"/>
  <x:c r="AH34" i="16"/>
  <x:c r="AI34" i="16"/>
  <x:c r="AJ34" i="16"/>
  <x:c r="AK34" i="16"/>
  <x:c r="AL34" i="16"/>
  <x:c r="AM34" i="16"/>
  <x:c r="R35" i="16"/>
  <x:c r="S35" i="16"/>
  <x:c r="T35" i="16"/>
  <x:c r="W35" i="16"/>
  <x:c r="X35" i="16"/>
  <x:c r="Y35" i="16"/>
  <x:c r="Z35" i="16"/>
  <x:c r="AA35" i="16"/>
  <x:c r="AB35" i="16"/>
  <x:c r="AC35" i="16"/>
  <x:c r="AG35" i="16"/>
  <x:c r="AH35" i="16"/>
  <x:c r="AI35" i="16"/>
  <x:c r="AJ35" i="16"/>
  <x:c r="AK35" i="16"/>
  <x:c r="AL35" i="16"/>
  <x:c r="AM35" i="16"/>
  <x:c r="H36" i="16"/>
  <x:c r="I36" i="16"/>
  <x:c r="J36" i="16"/>
  <x:c r="K36" i="16"/>
  <x:c r="R36" i="16"/>
  <x:c r="S36" i="16"/>
  <x:c r="T36" i="16"/>
  <x:c r="W36" i="16"/>
  <x:c r="X36" i="16"/>
  <x:c r="Y36" i="16"/>
  <x:c r="Z36" i="16"/>
  <x:c r="AA36" i="16"/>
  <x:c r="AB36" i="16"/>
  <x:c r="AC36" i="16"/>
  <x:c r="AG36" i="16"/>
  <x:c r="AH36" i="16"/>
  <x:c r="AI36" i="16"/>
  <x:c r="AJ36" i="16"/>
  <x:c r="AK36" i="16"/>
  <x:c r="AL36" i="16"/>
  <x:c r="AM36" i="16"/>
  <x:c r="H37" i="16"/>
  <x:c r="I37" i="16"/>
  <x:c r="J37" i="16"/>
  <x:c r="K37" i="16"/>
  <x:c r="H38" i="16"/>
  <x:c r="I38" i="16"/>
  <x:c r="J38" i="16"/>
  <x:c r="K38" i="16"/>
  <x:c r="S38" i="16"/>
  <x:c r="T38" i="16"/>
  <x:c r="U38" i="16"/>
  <x:c r="W38" i="16"/>
  <x:c r="X38" i="16"/>
  <x:c r="Y38" i="16"/>
  <x:c r="Z38" i="16"/>
  <x:c r="AA38" i="16"/>
  <x:c r="AB38" i="16"/>
  <x:c r="AC38" i="16"/>
  <x:c r="H39" i="16"/>
  <x:c r="I39" i="16"/>
  <x:c r="J39" i="16"/>
  <x:c r="K39" i="16"/>
  <x:c r="W39" i="16"/>
  <x:c r="X39" i="16"/>
  <x:c r="Y39" i="16"/>
  <x:c r="Z39" i="16"/>
  <x:c r="AA39" i="16"/>
  <x:c r="AB39" i="16"/>
  <x:c r="AC39" i="16"/>
  <x:c r="H40" i="16"/>
  <x:c r="I40" i="16"/>
  <x:c r="J40" i="16"/>
  <x:c r="K40" i="16"/>
  <x:c r="W40" i="16"/>
  <x:c r="X40" i="16"/>
  <x:c r="Y40" i="16"/>
  <x:c r="Z40" i="16"/>
  <x:c r="AA40" i="16"/>
  <x:c r="AB40" i="16"/>
  <x:c r="AC40" i="16"/>
  <x:c r="H41" i="16"/>
  <x:c r="I41" i="16"/>
  <x:c r="J41" i="16"/>
  <x:c r="K41" i="16"/>
  <x:c r="W41" i="16"/>
  <x:c r="X41" i="16"/>
  <x:c r="Y41" i="16"/>
  <x:c r="Z41" i="16"/>
  <x:c r="AA41" i="16"/>
  <x:c r="AB41" i="16"/>
  <x:c r="AC41" i="16"/>
  <x:c r="H42" i="16"/>
  <x:c r="I42" i="16"/>
  <x:c r="J42" i="16"/>
  <x:c r="K42" i="16"/>
  <x:c r="W42" i="16"/>
  <x:c r="X42" i="16"/>
  <x:c r="Y42" i="16"/>
  <x:c r="Z42" i="16"/>
  <x:c r="AA42" i="16"/>
  <x:c r="AB42" i="16"/>
  <x:c r="AC42" i="16"/>
  <x:c r="H43" i="16"/>
  <x:c r="I43" i="16"/>
  <x:c r="J43" i="16"/>
  <x:c r="K43" i="16"/>
  <x:c r="H44" i="16"/>
  <x:c r="I44" i="16"/>
  <x:c r="J44" i="16"/>
  <x:c r="K44" i="16"/>
  <x:c r="H45" i="16"/>
  <x:c r="I45" i="16"/>
  <x:c r="J45" i="16"/>
  <x:c r="K45" i="16"/>
  <x:c r="H46" i="16"/>
  <x:c r="I46" i="16"/>
  <x:c r="J46" i="16"/>
  <x:c r="K46" i="16"/>
  <x:c r="H47" i="16"/>
  <x:c r="I47" i="16"/>
  <x:c r="J47" i="16"/>
  <x:c r="K47" i="16"/>
  <x:c r="H48" i="16"/>
  <x:c r="I48" i="16"/>
  <x:c r="J48" i="16"/>
  <x:c r="K48" i="16"/>
  <x:c r="H49" i="16"/>
  <x:c r="I49" i="16"/>
  <x:c r="J49" i="16"/>
  <x:c r="K49" i="16"/>
  <x:c r="H50" i="16"/>
  <x:c r="I50" i="16"/>
  <x:c r="J50" i="16"/>
  <x:c r="K50" i="16"/>
  <x:c r="H53" i="16"/>
  <x:c r="I53" i="16"/>
  <x:c r="J53" i="16"/>
  <x:c r="K53" i="16"/>
  <x:c r="H54" i="16"/>
  <x:c r="I54" i="16"/>
  <x:c r="J54" i="16"/>
  <x:c r="K54" i="16"/>
  <x:c r="H55" i="16"/>
  <x:c r="I55" i="16"/>
  <x:c r="J55" i="16"/>
  <x:c r="K55" i="16"/>
  <x:c r="H56" i="16"/>
  <x:c r="I56" i="16"/>
  <x:c r="J56" i="16"/>
  <x:c r="K56" i="16"/>
  <x:c r="H57" i="16"/>
  <x:c r="I57" i="16"/>
  <x:c r="J57" i="16"/>
  <x:c r="K57" i="16"/>
  <x:c r="H58" i="16"/>
  <x:c r="I58" i="16"/>
  <x:c r="J58" i="16"/>
  <x:c r="K58" i="16"/>
  <x:c r="H59" i="16"/>
  <x:c r="I59" i="16"/>
  <x:c r="J59" i="16"/>
  <x:c r="K59" i="16"/>
  <x:c r="H60" i="16"/>
  <x:c r="I60" i="16"/>
  <x:c r="J60" i="16"/>
  <x:c r="K60" i="16"/>
  <x:c r="H61" i="16"/>
  <x:c r="I61" i="16"/>
  <x:c r="J61" i="16"/>
  <x:c r="K61" i="16"/>
  <x:c r="H62" i="16"/>
  <x:c r="I62" i="16"/>
  <x:c r="J62" i="16"/>
  <x:c r="K62" i="16"/>
  <x:c r="R62" i="16"/>
  <x:c r="S62" i="16"/>
  <x:c r="T62" i="16"/>
  <x:c r="W62" i="16"/>
  <x:c r="X62" i="16"/>
  <x:c r="Y62" i="16"/>
  <x:c r="Z62" i="16"/>
  <x:c r="AA62" i="16"/>
  <x:c r="AB62" i="16"/>
  <x:c r="AC62" i="16"/>
  <x:c r="AG62" i="16"/>
  <x:c r="AH62" i="16"/>
  <x:c r="AI62" i="16"/>
  <x:c r="AJ62" i="16"/>
  <x:c r="AK62" i="16"/>
  <x:c r="AL62" i="16"/>
  <x:c r="AM62" i="16"/>
  <x:c r="H63" i="16"/>
  <x:c r="I63" i="16"/>
  <x:c r="J63" i="16"/>
  <x:c r="K63" i="16"/>
  <x:c r="R63" i="16"/>
  <x:c r="S63" i="16"/>
  <x:c r="T63" i="16"/>
  <x:c r="W63" i="16"/>
  <x:c r="X63" i="16"/>
  <x:c r="Y63" i="16"/>
  <x:c r="Z63" i="16"/>
  <x:c r="AA63" i="16"/>
  <x:c r="AB63" i="16"/>
  <x:c r="AC63" i="16"/>
  <x:c r="AG63" i="16"/>
  <x:c r="AH63" i="16"/>
  <x:c r="AI63" i="16"/>
  <x:c r="AJ63" i="16"/>
  <x:c r="AK63" i="16"/>
  <x:c r="AL63" i="16"/>
  <x:c r="AM63" i="16"/>
  <x:c r="H64" i="16"/>
  <x:c r="I64" i="16"/>
  <x:c r="J64" i="16"/>
  <x:c r="K64" i="16"/>
  <x:c r="R64" i="16"/>
  <x:c r="S64" i="16"/>
  <x:c r="T64" i="16"/>
  <x:c r="W64" i="16"/>
  <x:c r="X64" i="16"/>
  <x:c r="Y64" i="16"/>
  <x:c r="Z64" i="16"/>
  <x:c r="AA64" i="16"/>
  <x:c r="AB64" i="16"/>
  <x:c r="AC64" i="16"/>
  <x:c r="AG64" i="16"/>
  <x:c r="AH64" i="16"/>
  <x:c r="AI64" i="16"/>
  <x:c r="AJ64" i="16"/>
  <x:c r="AK64" i="16"/>
  <x:c r="AL64" i="16"/>
  <x:c r="AM64" i="16"/>
  <x:c r="H65" i="16"/>
  <x:c r="I65" i="16"/>
  <x:c r="J65" i="16"/>
  <x:c r="K65" i="16"/>
  <x:c r="R65" i="16"/>
  <x:c r="S65" i="16"/>
  <x:c r="T65" i="16"/>
  <x:c r="W65" i="16"/>
  <x:c r="X65" i="16"/>
  <x:c r="Y65" i="16"/>
  <x:c r="Z65" i="16"/>
  <x:c r="AA65" i="16"/>
  <x:c r="AB65" i="16"/>
  <x:c r="AC65" i="16"/>
  <x:c r="AG65" i="16"/>
  <x:c r="AH65" i="16"/>
  <x:c r="AI65" i="16"/>
  <x:c r="AJ65" i="16"/>
  <x:c r="AK65" i="16"/>
  <x:c r="AL65" i="16"/>
  <x:c r="AM65" i="16"/>
  <x:c r="H66" i="16"/>
  <x:c r="I66" i="16"/>
  <x:c r="J66" i="16"/>
  <x:c r="K66" i="16"/>
  <x:c r="Q66" i="16"/>
  <x:c r="R66" i="16"/>
  <x:c r="S66" i="16"/>
  <x:c r="T66" i="16"/>
  <x:c r="W66" i="16"/>
  <x:c r="X66" i="16"/>
  <x:c r="Y66" i="16"/>
  <x:c r="Z66" i="16"/>
  <x:c r="AA66" i="16"/>
  <x:c r="AB66" i="16"/>
  <x:c r="AC66" i="16"/>
  <x:c r="AG66" i="16"/>
  <x:c r="AH66" i="16"/>
  <x:c r="AI66" i="16"/>
  <x:c r="AJ66" i="16"/>
  <x:c r="AK66" i="16"/>
  <x:c r="AL66" i="16"/>
  <x:c r="AM66" i="16"/>
  <x:c r="H67" i="16"/>
  <x:c r="I67" i="16"/>
  <x:c r="J67" i="16"/>
  <x:c r="K67" i="16"/>
  <x:c r="R67" i="16"/>
  <x:c r="S67" i="16"/>
  <x:c r="T67" i="16"/>
  <x:c r="W67" i="16"/>
  <x:c r="X67" i="16"/>
  <x:c r="Y67" i="16"/>
  <x:c r="Z67" i="16"/>
  <x:c r="AA67" i="16"/>
  <x:c r="AB67" i="16"/>
  <x:c r="AC67" i="16"/>
  <x:c r="AG67" i="16"/>
  <x:c r="AH67" i="16"/>
  <x:c r="AI67" i="16"/>
  <x:c r="AJ67" i="16"/>
  <x:c r="AK67" i="16"/>
  <x:c r="AL67" i="16"/>
  <x:c r="AM67" i="16"/>
  <x:c r="R68" i="16"/>
  <x:c r="S68" i="16"/>
  <x:c r="T68" i="16"/>
  <x:c r="W68" i="16"/>
  <x:c r="X68" i="16"/>
  <x:c r="Y68" i="16"/>
  <x:c r="Z68" i="16"/>
  <x:c r="AA68" i="16"/>
  <x:c r="AB68" i="16"/>
  <x:c r="AC68" i="16"/>
  <x:c r="AG68" i="16"/>
  <x:c r="AH68" i="16"/>
  <x:c r="AI68" i="16"/>
  <x:c r="AJ68" i="16"/>
  <x:c r="AK68" i="16"/>
  <x:c r="AL68" i="16"/>
  <x:c r="AM68" i="16"/>
  <x:c r="R69" i="16"/>
  <x:c r="S69" i="16"/>
  <x:c r="T69" i="16"/>
  <x:c r="W69" i="16"/>
  <x:c r="X69" i="16"/>
  <x:c r="Y69" i="16"/>
  <x:c r="Z69" i="16"/>
  <x:c r="AA69" i="16"/>
  <x:c r="AB69" i="16"/>
  <x:c r="AC69" i="16"/>
  <x:c r="AG69" i="16"/>
  <x:c r="AH69" i="16"/>
  <x:c r="AI69" i="16"/>
  <x:c r="AJ69" i="16"/>
  <x:c r="AK69" i="16"/>
  <x:c r="AL69" i="16"/>
  <x:c r="AM69" i="16"/>
  <x:c r="H70" i="16"/>
  <x:c r="J70" i="16"/>
  <x:c r="R70" i="16"/>
  <x:c r="S70" i="16"/>
  <x:c r="T70" i="16"/>
  <x:c r="W70" i="16"/>
  <x:c r="X70" i="16"/>
  <x:c r="Y70" i="16"/>
  <x:c r="Z70" i="16"/>
  <x:c r="AA70" i="16"/>
  <x:c r="AB70" i="16"/>
  <x:c r="AC70" i="16"/>
  <x:c r="AG70" i="16"/>
  <x:c r="AH70" i="16"/>
  <x:c r="AI70" i="16"/>
  <x:c r="AJ70" i="16"/>
  <x:c r="AK70" i="16"/>
  <x:c r="AL70" i="16"/>
  <x:c r="AM70" i="16"/>
  <x:c r="R72" i="16"/>
  <x:c r="S72" i="16"/>
  <x:c r="T72" i="16"/>
  <x:c r="W72" i="16"/>
  <x:c r="X72" i="16"/>
  <x:c r="Y72" i="16"/>
  <x:c r="Z72" i="16"/>
  <x:c r="AA72" i="16"/>
  <x:c r="AB72" i="16"/>
  <x:c r="AC72" i="16"/>
  <x:c r="AG72" i="16"/>
  <x:c r="AH72" i="16"/>
  <x:c r="AI72" i="16"/>
  <x:c r="AJ72" i="16"/>
  <x:c r="AK72" i="16"/>
  <x:c r="AL72" i="16"/>
  <x:c r="AM72" i="16"/>
  <x:c r="H73" i="16"/>
  <x:c r="J73" i="16"/>
  <x:c r="R73" i="16"/>
  <x:c r="S73" i="16"/>
  <x:c r="T73" i="16"/>
  <x:c r="W73" i="16"/>
  <x:c r="X73" i="16"/>
  <x:c r="Y73" i="16"/>
  <x:c r="Z73" i="16"/>
  <x:c r="AA73" i="16"/>
  <x:c r="AB73" i="16"/>
  <x:c r="AC73" i="16"/>
  <x:c r="AG73" i="16"/>
  <x:c r="AH73" i="16"/>
  <x:c r="AI73" i="16"/>
  <x:c r="AJ73" i="16"/>
  <x:c r="AK73" i="16"/>
  <x:c r="AL73" i="16"/>
  <x:c r="AM73" i="16"/>
  <x:c r="H74" i="16"/>
  <x:c r="J74" i="16"/>
  <x:c r="S74" i="16"/>
  <x:c r="T74" i="16"/>
  <x:c r="W74" i="16"/>
  <x:c r="X74" i="16"/>
  <x:c r="Y74" i="16"/>
  <x:c r="Z74" i="16"/>
  <x:c r="AA74" i="16"/>
  <x:c r="AB74" i="16"/>
  <x:c r="AC74" i="16"/>
  <x:c r="AG74" i="16"/>
  <x:c r="AH74" i="16"/>
  <x:c r="AI74" i="16"/>
  <x:c r="AJ74" i="16"/>
  <x:c r="AK74" i="16"/>
  <x:c r="AL74" i="16"/>
  <x:c r="AM74" i="16"/>
  <x:c r="H75" i="16"/>
  <x:c r="J75" i="16"/>
  <x:c r="R75" i="16"/>
  <x:c r="S75" i="16"/>
  <x:c r="T75" i="16"/>
  <x:c r="W75" i="16"/>
  <x:c r="X75" i="16"/>
  <x:c r="Y75" i="16"/>
  <x:c r="Z75" i="16"/>
  <x:c r="AA75" i="16"/>
  <x:c r="AB75" i="16"/>
  <x:c r="AC75" i="16"/>
  <x:c r="AG75" i="16"/>
  <x:c r="AH75" i="16"/>
  <x:c r="AI75" i="16"/>
  <x:c r="AJ75" i="16"/>
  <x:c r="AK75" i="16"/>
  <x:c r="AL75" i="16"/>
  <x:c r="AM75" i="16"/>
  <x:c r="R76" i="16"/>
  <x:c r="S76" i="16"/>
  <x:c r="T76" i="16"/>
  <x:c r="W76" i="16"/>
  <x:c r="X76" i="16"/>
  <x:c r="Y76" i="16"/>
  <x:c r="Z76" i="16"/>
  <x:c r="AA76" i="16"/>
  <x:c r="AB76" i="16"/>
  <x:c r="AC76" i="16"/>
  <x:c r="AG76" i="16"/>
  <x:c r="AH76" i="16"/>
  <x:c r="AI76" i="16"/>
  <x:c r="AJ76" i="16"/>
  <x:c r="AK76" i="16"/>
  <x:c r="AL76" i="16"/>
  <x:c r="AM76" i="16"/>
  <x:c r="D77" i="16"/>
  <x:c r="R77" i="16"/>
  <x:c r="S77" i="16"/>
  <x:c r="T77" i="16"/>
  <x:c r="W77" i="16"/>
  <x:c r="X77" i="16"/>
  <x:c r="Y77" i="16"/>
  <x:c r="Z77" i="16"/>
  <x:c r="AA77" i="16"/>
  <x:c r="AB77" i="16"/>
  <x:c r="AC77" i="16"/>
  <x:c r="AG77" i="16"/>
  <x:c r="AH77" i="16"/>
  <x:c r="AI77" i="16"/>
  <x:c r="AJ77" i="16"/>
  <x:c r="AK77" i="16"/>
  <x:c r="AL77" i="16"/>
  <x:c r="AM77" i="16"/>
  <x:c r="R78" i="16"/>
  <x:c r="S78" i="16"/>
  <x:c r="T78" i="16"/>
  <x:c r="W78" i="16"/>
  <x:c r="X78" i="16"/>
  <x:c r="Y78" i="16"/>
  <x:c r="Z78" i="16"/>
  <x:c r="AA78" i="16"/>
  <x:c r="AB78" i="16"/>
  <x:c r="AC78" i="16"/>
  <x:c r="AG78" i="16"/>
  <x:c r="AH78" i="16"/>
  <x:c r="AI78" i="16"/>
  <x:c r="AJ78" i="16"/>
  <x:c r="AK78" i="16"/>
  <x:c r="AL78" i="16"/>
  <x:c r="AM78" i="16"/>
  <x:c r="R79" i="16"/>
  <x:c r="S79" i="16"/>
  <x:c r="T79" i="16"/>
  <x:c r="W79" i="16"/>
  <x:c r="X79" i="16"/>
  <x:c r="Y79" i="16"/>
  <x:c r="Z79" i="16"/>
  <x:c r="AA79" i="16"/>
  <x:c r="AB79" i="16"/>
  <x:c r="AC79" i="16"/>
  <x:c r="AG79" i="16"/>
  <x:c r="AH79" i="16"/>
  <x:c r="AI79" i="16"/>
  <x:c r="AJ79" i="16"/>
  <x:c r="AK79" i="16"/>
  <x:c r="AL79" i="16"/>
  <x:c r="AM79" i="16"/>
  <x:c r="R80" i="16"/>
  <x:c r="S80" i="16"/>
  <x:c r="T80" i="16"/>
  <x:c r="W80" i="16"/>
  <x:c r="X80" i="16"/>
  <x:c r="Y80" i="16"/>
  <x:c r="Z80" i="16"/>
  <x:c r="AA80" i="16"/>
  <x:c r="AB80" i="16"/>
  <x:c r="AC80" i="16"/>
  <x:c r="AG80" i="16"/>
  <x:c r="AH80" i="16"/>
  <x:c r="AI80" i="16"/>
  <x:c r="AJ80" i="16"/>
  <x:c r="AK80" i="16"/>
  <x:c r="AL80" i="16"/>
  <x:c r="AM80" i="16"/>
  <x:c r="S82" i="16"/>
  <x:c r="T82" i="16"/>
  <x:c r="U82" i="16"/>
  <x:c r="W82" i="16"/>
  <x:c r="X82" i="16"/>
  <x:c r="Y82" i="16"/>
  <x:c r="Z82" i="16"/>
  <x:c r="AA82" i="16"/>
  <x:c r="AB82" i="16"/>
  <x:c r="AC82" i="16"/>
  <x:c r="W83" i="16"/>
  <x:c r="X83" i="16"/>
  <x:c r="Y83" i="16"/>
  <x:c r="Z83" i="16"/>
  <x:c r="AA83" i="16"/>
  <x:c r="AB83" i="16"/>
  <x:c r="AC83" i="16"/>
  <x:c r="W84" i="16"/>
  <x:c r="X84" i="16"/>
  <x:c r="Y84" i="16"/>
  <x:c r="Z84" i="16"/>
  <x:c r="AA84" i="16"/>
  <x:c r="AB84" i="16"/>
  <x:c r="AC84" i="16"/>
  <x:c r="W85" i="16"/>
  <x:c r="X85" i="16"/>
  <x:c r="Y85" i="16"/>
  <x:c r="Z85" i="16"/>
  <x:c r="AA85" i="16"/>
  <x:c r="AB85" i="16"/>
  <x:c r="AC85" i="16"/>
  <x:c r="W86" i="16"/>
  <x:c r="X86" i="16"/>
  <x:c r="Y86" i="16"/>
  <x:c r="Z86" i="16"/>
  <x:c r="AA86" i="16"/>
  <x:c r="AB86" i="16"/>
  <x:c r="AC86" i="16"/>
  <x:c r="H5" i="17"/>
  <x:c r="I5" i="17"/>
  <x:c r="J5" i="17"/>
  <x:c r="K5" i="17"/>
  <x:c r="H6" i="17"/>
  <x:c r="I6" i="17"/>
  <x:c r="J6" i="17"/>
  <x:c r="K6" i="17"/>
  <x:c r="H7" i="17"/>
  <x:c r="I7" i="17"/>
  <x:c r="J7" i="17"/>
  <x:c r="K7" i="17"/>
  <x:c r="H8" i="17"/>
  <x:c r="I8" i="17"/>
  <x:c r="J8" i="17"/>
  <x:c r="K8" i="17"/>
  <x:c r="H11" i="17"/>
  <x:c r="I11" i="17"/>
  <x:c r="J11" i="17"/>
  <x:c r="K11" i="17"/>
  <x:c r="H12" i="17"/>
  <x:c r="I12" i="17"/>
  <x:c r="J12" i="17"/>
  <x:c r="K12" i="17"/>
  <x:c r="H13" i="17"/>
  <x:c r="I13" i="17"/>
  <x:c r="J13" i="17"/>
  <x:c r="K13" i="17"/>
  <x:c r="H14" i="17"/>
  <x:c r="I14" i="17"/>
  <x:c r="J14" i="17"/>
  <x:c r="K14" i="17"/>
  <x:c r="H17" i="17"/>
  <x:c r="I17" i="17"/>
  <x:c r="J17" i="17"/>
  <x:c r="K17" i="17"/>
  <x:c r="H18" i="17"/>
  <x:c r="I18" i="17"/>
  <x:c r="J18" i="17"/>
  <x:c r="K18" i="17"/>
  <x:c r="R18" i="17"/>
  <x:c r="S18" i="17"/>
  <x:c r="T18" i="17"/>
  <x:c r="W18" i="17"/>
  <x:c r="X18" i="17"/>
  <x:c r="Y18" i="17"/>
  <x:c r="Z18" i="17"/>
  <x:c r="AA18" i="17"/>
  <x:c r="AB18" i="17"/>
  <x:c r="AC18" i="17"/>
  <x:c r="AG18" i="17"/>
  <x:c r="AH18" i="17"/>
  <x:c r="AI18" i="17"/>
  <x:c r="AJ18" i="17"/>
  <x:c r="AK18" i="17"/>
  <x:c r="AL18" i="17"/>
  <x:c r="AM18" i="17"/>
  <x:c r="H19" i="17"/>
  <x:c r="I19" i="17"/>
  <x:c r="J19" i="17"/>
  <x:c r="K19" i="17"/>
  <x:c r="R19" i="17"/>
  <x:c r="S19" i="17"/>
  <x:c r="T19" i="17"/>
  <x:c r="W19" i="17"/>
  <x:c r="X19" i="17"/>
  <x:c r="Y19" i="17"/>
  <x:c r="Z19" i="17"/>
  <x:c r="AA19" i="17"/>
  <x:c r="AB19" i="17"/>
  <x:c r="AC19" i="17"/>
  <x:c r="AG19" i="17"/>
  <x:c r="AH19" i="17"/>
  <x:c r="AI19" i="17"/>
  <x:c r="AJ19" i="17"/>
  <x:c r="AK19" i="17"/>
  <x:c r="AL19" i="17"/>
  <x:c r="AM19" i="17"/>
  <x:c r="H20" i="17"/>
  <x:c r="I20" i="17"/>
  <x:c r="J20" i="17"/>
  <x:c r="K20" i="17"/>
  <x:c r="R20" i="17"/>
  <x:c r="S20" i="17"/>
  <x:c r="T20" i="17"/>
  <x:c r="W20" i="17"/>
  <x:c r="X20" i="17"/>
  <x:c r="Y20" i="17"/>
  <x:c r="Z20" i="17"/>
  <x:c r="AA20" i="17"/>
  <x:c r="AB20" i="17"/>
  <x:c r="AC20" i="17"/>
  <x:c r="AG20" i="17"/>
  <x:c r="AH20" i="17"/>
  <x:c r="AI20" i="17"/>
  <x:c r="AJ20" i="17"/>
  <x:c r="AK20" i="17"/>
  <x:c r="AL20" i="17"/>
  <x:c r="AM20" i="17"/>
  <x:c r="R21" i="17"/>
  <x:c r="S21" i="17"/>
  <x:c r="T21" i="17"/>
  <x:c r="W21" i="17"/>
  <x:c r="X21" i="17"/>
  <x:c r="Y21" i="17"/>
  <x:c r="Z21" i="17"/>
  <x:c r="AA21" i="17"/>
  <x:c r="AB21" i="17"/>
  <x:c r="AC21" i="17"/>
  <x:c r="AG21" i="17"/>
  <x:c r="AH21" i="17"/>
  <x:c r="AI21" i="17"/>
  <x:c r="AJ21" i="17"/>
  <x:c r="AK21" i="17"/>
  <x:c r="AL21" i="17"/>
  <x:c r="AM21" i="17"/>
  <x:c r="Q22" i="17"/>
  <x:c r="R22" i="17"/>
  <x:c r="S22" i="17"/>
  <x:c r="T22" i="17"/>
  <x:c r="W22" i="17"/>
  <x:c r="X22" i="17"/>
  <x:c r="Y22" i="17"/>
  <x:c r="Z22" i="17"/>
  <x:c r="AA22" i="17"/>
  <x:c r="AB22" i="17"/>
  <x:c r="AC22" i="17"/>
  <x:c r="AG22" i="17"/>
  <x:c r="AH22" i="17"/>
  <x:c r="AI22" i="17"/>
  <x:c r="AJ22" i="17"/>
  <x:c r="AK22" i="17"/>
  <x:c r="AL22" i="17"/>
  <x:c r="AM22" i="17"/>
  <x:c r="H23" i="17"/>
  <x:c r="J23" i="17"/>
  <x:c r="R23" i="17"/>
  <x:c r="S23" i="17"/>
  <x:c r="T23" i="17"/>
  <x:c r="W23" i="17"/>
  <x:c r="X23" i="17"/>
  <x:c r="Y23" i="17"/>
  <x:c r="Z23" i="17"/>
  <x:c r="AA23" i="17"/>
  <x:c r="AB23" i="17"/>
  <x:c r="AC23" i="17"/>
  <x:c r="AG23" i="17"/>
  <x:c r="AH23" i="17"/>
  <x:c r="AI23" i="17"/>
  <x:c r="AJ23" i="17"/>
  <x:c r="AK23" i="17"/>
  <x:c r="AL23" i="17"/>
  <x:c r="AM23" i="17"/>
  <x:c r="H24" i="17"/>
  <x:c r="R24" i="17"/>
  <x:c r="S24" i="17"/>
  <x:c r="T24" i="17"/>
  <x:c r="W24" i="17"/>
  <x:c r="X24" i="17"/>
  <x:c r="Y24" i="17"/>
  <x:c r="Z24" i="17"/>
  <x:c r="AA24" i="17"/>
  <x:c r="AB24" i="17"/>
  <x:c r="AC24" i="17"/>
  <x:c r="AG24" i="17"/>
  <x:c r="AH24" i="17"/>
  <x:c r="AI24" i="17"/>
  <x:c r="AJ24" i="17"/>
  <x:c r="AK24" i="17"/>
  <x:c r="AL24" i="17"/>
  <x:c r="AM24" i="17"/>
  <x:c r="R25" i="17"/>
  <x:c r="S25" i="17"/>
  <x:c r="T25" i="17"/>
  <x:c r="W25" i="17"/>
  <x:c r="X25" i="17"/>
  <x:c r="Y25" i="17"/>
  <x:c r="Z25" i="17"/>
  <x:c r="AA25" i="17"/>
  <x:c r="AB25" i="17"/>
  <x:c r="AC25" i="17"/>
  <x:c r="AG25" i="17"/>
  <x:c r="AH25" i="17"/>
  <x:c r="AI25" i="17"/>
  <x:c r="AJ25" i="17"/>
  <x:c r="AK25" i="17"/>
  <x:c r="AL25" i="17"/>
  <x:c r="AM25" i="17"/>
  <x:c r="R26" i="17"/>
  <x:c r="S26" i="17"/>
  <x:c r="T26" i="17"/>
  <x:c r="W26" i="17"/>
  <x:c r="X26" i="17"/>
  <x:c r="Y26" i="17"/>
  <x:c r="Z26" i="17"/>
  <x:c r="AA26" i="17"/>
  <x:c r="AB26" i="17"/>
  <x:c r="AC26" i="17"/>
  <x:c r="AG26" i="17"/>
  <x:c r="AH26" i="17"/>
  <x:c r="AI26" i="17"/>
  <x:c r="AJ26" i="17"/>
  <x:c r="AK26" i="17"/>
  <x:c r="AL26" i="17"/>
  <x:c r="AM26" i="17"/>
  <x:c r="H27" i="17"/>
  <x:c r="J27" i="17"/>
  <x:c r="R28" i="17"/>
  <x:c r="S28" i="17"/>
  <x:c r="T28" i="17"/>
  <x:c r="W28" i="17"/>
  <x:c r="X28" i="17"/>
  <x:c r="Y28" i="17"/>
  <x:c r="Z28" i="17"/>
  <x:c r="AA28" i="17"/>
  <x:c r="AB28" i="17"/>
  <x:c r="AC28" i="17"/>
  <x:c r="AG28" i="17"/>
  <x:c r="AH28" i="17"/>
  <x:c r="AI28" i="17"/>
  <x:c r="AJ28" i="17"/>
  <x:c r="AK28" i="17"/>
  <x:c r="AL28" i="17"/>
  <x:c r="AM28" i="17"/>
  <x:c r="R29" i="17"/>
  <x:c r="S29" i="17"/>
  <x:c r="T29" i="17"/>
  <x:c r="W29" i="17"/>
  <x:c r="X29" i="17"/>
  <x:c r="Y29" i="17"/>
  <x:c r="Z29" i="17"/>
  <x:c r="AA29" i="17"/>
  <x:c r="AB29" i="17"/>
  <x:c r="AC29" i="17"/>
  <x:c r="AG29" i="17"/>
  <x:c r="AH29" i="17"/>
  <x:c r="AI29" i="17"/>
  <x:c r="AJ29" i="17"/>
  <x:c r="AK29" i="17"/>
  <x:c r="AL29" i="17"/>
  <x:c r="AM29" i="17"/>
  <x:c r="H30" i="17"/>
  <x:c r="J30" i="17"/>
  <x:c r="S30" i="17"/>
  <x:c r="T30" i="17"/>
  <x:c r="W30" i="17"/>
  <x:c r="X30" i="17"/>
  <x:c r="Y30" i="17"/>
  <x:c r="Z30" i="17"/>
  <x:c r="AA30" i="17"/>
  <x:c r="AB30" i="17"/>
  <x:c r="AC30" i="17"/>
  <x:c r="AG30" i="17"/>
  <x:c r="AH30" i="17"/>
  <x:c r="AI30" i="17"/>
  <x:c r="AJ30" i="17"/>
  <x:c r="AK30" i="17"/>
  <x:c r="AL30" i="17"/>
  <x:c r="AM30" i="17"/>
  <x:c r="R31" i="17"/>
  <x:c r="S31" i="17"/>
  <x:c r="T31" i="17"/>
  <x:c r="W31" i="17"/>
  <x:c r="X31" i="17"/>
  <x:c r="Y31" i="17"/>
  <x:c r="Z31" i="17"/>
  <x:c r="AA31" i="17"/>
  <x:c r="AB31" i="17"/>
  <x:c r="AC31" i="17"/>
  <x:c r="AG31" i="17"/>
  <x:c r="AH31" i="17"/>
  <x:c r="AI31" i="17"/>
  <x:c r="AJ31" i="17"/>
  <x:c r="AK31" i="17"/>
  <x:c r="AL31" i="17"/>
  <x:c r="AM31" i="17"/>
  <x:c r="R32" i="17"/>
  <x:c r="S32" i="17"/>
  <x:c r="T32" i="17"/>
  <x:c r="W32" i="17"/>
  <x:c r="X32" i="17"/>
  <x:c r="Y32" i="17"/>
  <x:c r="Z32" i="17"/>
  <x:c r="AA32" i="17"/>
  <x:c r="AB32" i="17"/>
  <x:c r="AC32" i="17"/>
  <x:c r="AG32" i="17"/>
  <x:c r="AH32" i="17"/>
  <x:c r="AI32" i="17"/>
  <x:c r="AJ32" i="17"/>
  <x:c r="AK32" i="17"/>
  <x:c r="AL32" i="17"/>
  <x:c r="AM32" i="17"/>
  <x:c r="H33" i="17"/>
  <x:c r="R33" i="17"/>
  <x:c r="S33" i="17"/>
  <x:c r="T33" i="17"/>
  <x:c r="W33" i="17"/>
  <x:c r="X33" i="17"/>
  <x:c r="Y33" i="17"/>
  <x:c r="Z33" i="17"/>
  <x:c r="AA33" i="17"/>
  <x:c r="AB33" i="17"/>
  <x:c r="AC33" i="17"/>
  <x:c r="AG33" i="17"/>
  <x:c r="AH33" i="17"/>
  <x:c r="AI33" i="17"/>
  <x:c r="AJ33" i="17"/>
  <x:c r="AK33" i="17"/>
  <x:c r="AL33" i="17"/>
  <x:c r="AM33" i="17"/>
  <x:c r="R34" i="17"/>
  <x:c r="S34" i="17"/>
  <x:c r="T34" i="17"/>
  <x:c r="W34" i="17"/>
  <x:c r="X34" i="17"/>
  <x:c r="Y34" i="17"/>
  <x:c r="Z34" i="17"/>
  <x:c r="AA34" i="17"/>
  <x:c r="AB34" i="17"/>
  <x:c r="AC34" i="17"/>
  <x:c r="AG34" i="17"/>
  <x:c r="AH34" i="17"/>
  <x:c r="AI34" i="17"/>
  <x:c r="AJ34" i="17"/>
  <x:c r="AK34" i="17"/>
  <x:c r="AL34" i="17"/>
  <x:c r="AM34" i="17"/>
  <x:c r="R35" i="17"/>
  <x:c r="S35" i="17"/>
  <x:c r="T35" i="17"/>
  <x:c r="W35" i="17"/>
  <x:c r="X35" i="17"/>
  <x:c r="Y35" i="17"/>
  <x:c r="Z35" i="17"/>
  <x:c r="AA35" i="17"/>
  <x:c r="AB35" i="17"/>
  <x:c r="AC35" i="17"/>
  <x:c r="AG35" i="17"/>
  <x:c r="AH35" i="17"/>
  <x:c r="AI35" i="17"/>
  <x:c r="AJ35" i="17"/>
  <x:c r="AK35" i="17"/>
  <x:c r="AL35" i="17"/>
  <x:c r="AM35" i="17"/>
  <x:c r="H36" i="17"/>
  <x:c r="I36" i="17"/>
  <x:c r="J36" i="17"/>
  <x:c r="K36" i="17"/>
  <x:c r="R36" i="17"/>
  <x:c r="S36" i="17"/>
  <x:c r="T36" i="17"/>
  <x:c r="W36" i="17"/>
  <x:c r="X36" i="17"/>
  <x:c r="Y36" i="17"/>
  <x:c r="Z36" i="17"/>
  <x:c r="AA36" i="17"/>
  <x:c r="AB36" i="17"/>
  <x:c r="AC36" i="17"/>
  <x:c r="AG36" i="17"/>
  <x:c r="AH36" i="17"/>
  <x:c r="AI36" i="17"/>
  <x:c r="AJ36" i="17"/>
  <x:c r="AK36" i="17"/>
  <x:c r="AL36" i="17"/>
  <x:c r="AM36" i="17"/>
  <x:c r="H37" i="17"/>
  <x:c r="I37" i="17"/>
  <x:c r="J37" i="17"/>
  <x:c r="K37" i="17"/>
  <x:c r="H38" i="17"/>
  <x:c r="I38" i="17"/>
  <x:c r="J38" i="17"/>
  <x:c r="K38" i="17"/>
  <x:c r="S38" i="17"/>
  <x:c r="T38" i="17"/>
  <x:c r="U38" i="17"/>
  <x:c r="W38" i="17"/>
  <x:c r="X38" i="17"/>
  <x:c r="Y38" i="17"/>
  <x:c r="Z38" i="17"/>
  <x:c r="AA38" i="17"/>
  <x:c r="AB38" i="17"/>
  <x:c r="AC38" i="17"/>
  <x:c r="H39" i="17"/>
  <x:c r="I39" i="17"/>
  <x:c r="J39" i="17"/>
  <x:c r="K39" i="17"/>
  <x:c r="W39" i="17"/>
  <x:c r="X39" i="17"/>
  <x:c r="Y39" i="17"/>
  <x:c r="Z39" i="17"/>
  <x:c r="AA39" i="17"/>
  <x:c r="AB39" i="17"/>
  <x:c r="AC39" i="17"/>
  <x:c r="H40" i="17"/>
  <x:c r="I40" i="17"/>
  <x:c r="J40" i="17"/>
  <x:c r="K40" i="17"/>
  <x:c r="W40" i="17"/>
  <x:c r="X40" i="17"/>
  <x:c r="Y40" i="17"/>
  <x:c r="Z40" i="17"/>
  <x:c r="AA40" i="17"/>
  <x:c r="AB40" i="17"/>
  <x:c r="AC40" i="17"/>
  <x:c r="H41" i="17"/>
  <x:c r="I41" i="17"/>
  <x:c r="J41" i="17"/>
  <x:c r="K41" i="17"/>
  <x:c r="W41" i="17"/>
  <x:c r="X41" i="17"/>
  <x:c r="Y41" i="17"/>
  <x:c r="Z41" i="17"/>
  <x:c r="AA41" i="17"/>
  <x:c r="AB41" i="17"/>
  <x:c r="AC41" i="17"/>
  <x:c r="H42" i="17"/>
  <x:c r="I42" i="17"/>
  <x:c r="J42" i="17"/>
  <x:c r="K42" i="17"/>
  <x:c r="W42" i="17"/>
  <x:c r="X42" i="17"/>
  <x:c r="Y42" i="17"/>
  <x:c r="Z42" i="17"/>
  <x:c r="AA42" i="17"/>
  <x:c r="AB42" i="17"/>
  <x:c r="AC42" i="17"/>
  <x:c r="H43" i="17"/>
  <x:c r="I43" i="17"/>
  <x:c r="J43" i="17"/>
  <x:c r="K43" i="17"/>
  <x:c r="H44" i="17"/>
  <x:c r="I44" i="17"/>
  <x:c r="J44" i="17"/>
  <x:c r="K44" i="17"/>
  <x:c r="H45" i="17"/>
  <x:c r="I45" i="17"/>
  <x:c r="J45" i="17"/>
  <x:c r="K45" i="17"/>
  <x:c r="H46" i="17"/>
  <x:c r="I46" i="17"/>
  <x:c r="J46" i="17"/>
  <x:c r="K46" i="17"/>
  <x:c r="H47" i="17"/>
  <x:c r="I47" i="17"/>
  <x:c r="J47" i="17"/>
  <x:c r="K47" i="17"/>
  <x:c r="H48" i="17"/>
  <x:c r="I48" i="17"/>
  <x:c r="J48" i="17"/>
  <x:c r="K48" i="17"/>
  <x:c r="H49" i="17"/>
  <x:c r="I49" i="17"/>
  <x:c r="J49" i="17"/>
  <x:c r="K49" i="17"/>
  <x:c r="H50" i="17"/>
  <x:c r="I50" i="17"/>
  <x:c r="J50" i="17"/>
  <x:c r="K50" i="17"/>
  <x:c r="H53" i="17"/>
  <x:c r="I53" i="17"/>
  <x:c r="J53" i="17"/>
  <x:c r="K53" i="17"/>
  <x:c r="H54" i="17"/>
  <x:c r="I54" i="17"/>
  <x:c r="J54" i="17"/>
  <x:c r="K54" i="17"/>
  <x:c r="H55" i="17"/>
  <x:c r="I55" i="17"/>
  <x:c r="J55" i="17"/>
  <x:c r="K55" i="17"/>
  <x:c r="H56" i="17"/>
  <x:c r="I56" i="17"/>
  <x:c r="J56" i="17"/>
  <x:c r="K56" i="17"/>
  <x:c r="H57" i="17"/>
  <x:c r="I57" i="17"/>
  <x:c r="J57" i="17"/>
  <x:c r="K57" i="17"/>
  <x:c r="H58" i="17"/>
  <x:c r="I58" i="17"/>
  <x:c r="J58" i="17"/>
  <x:c r="K58" i="17"/>
  <x:c r="H59" i="17"/>
  <x:c r="I59" i="17"/>
  <x:c r="J59" i="17"/>
  <x:c r="K59" i="17"/>
  <x:c r="H60" i="17"/>
  <x:c r="I60" i="17"/>
  <x:c r="J60" i="17"/>
  <x:c r="K60" i="17"/>
  <x:c r="H61" i="17"/>
  <x:c r="I61" i="17"/>
  <x:c r="J61" i="17"/>
  <x:c r="K61" i="17"/>
  <x:c r="H62" i="17"/>
  <x:c r="I62" i="17"/>
  <x:c r="J62" i="17"/>
  <x:c r="K62" i="17"/>
  <x:c r="R62" i="17"/>
  <x:c r="S62" i="17"/>
  <x:c r="T62" i="17"/>
  <x:c r="W62" i="17"/>
  <x:c r="X62" i="17"/>
  <x:c r="Y62" i="17"/>
  <x:c r="Z62" i="17"/>
  <x:c r="AA62" i="17"/>
  <x:c r="AB62" i="17"/>
  <x:c r="AC62" i="17"/>
  <x:c r="AG62" i="17"/>
  <x:c r="AH62" i="17"/>
  <x:c r="AI62" i="17"/>
  <x:c r="AJ62" i="17"/>
  <x:c r="AK62" i="17"/>
  <x:c r="AL62" i="17"/>
  <x:c r="AM62" i="17"/>
  <x:c r="H63" i="17"/>
  <x:c r="I63" i="17"/>
  <x:c r="J63" i="17"/>
  <x:c r="K63" i="17"/>
  <x:c r="R63" i="17"/>
  <x:c r="S63" i="17"/>
  <x:c r="T63" i="17"/>
  <x:c r="W63" i="17"/>
  <x:c r="X63" i="17"/>
  <x:c r="Y63" i="17"/>
  <x:c r="Z63" i="17"/>
  <x:c r="AA63" i="17"/>
  <x:c r="AB63" i="17"/>
  <x:c r="AC63" i="17"/>
  <x:c r="AG63" i="17"/>
  <x:c r="AH63" i="17"/>
  <x:c r="AI63" i="17"/>
  <x:c r="AJ63" i="17"/>
  <x:c r="AK63" i="17"/>
  <x:c r="AL63" i="17"/>
  <x:c r="AM63" i="17"/>
  <x:c r="H64" i="17"/>
  <x:c r="I64" i="17"/>
  <x:c r="J64" i="17"/>
  <x:c r="K64" i="17"/>
  <x:c r="R64" i="17"/>
  <x:c r="S64" i="17"/>
  <x:c r="T64" i="17"/>
  <x:c r="W64" i="17"/>
  <x:c r="X64" i="17"/>
  <x:c r="Y64" i="17"/>
  <x:c r="Z64" i="17"/>
  <x:c r="AA64" i="17"/>
  <x:c r="AB64" i="17"/>
  <x:c r="AC64" i="17"/>
  <x:c r="AG64" i="17"/>
  <x:c r="AH64" i="17"/>
  <x:c r="AI64" i="17"/>
  <x:c r="AJ64" i="17"/>
  <x:c r="AK64" i="17"/>
  <x:c r="AL64" i="17"/>
  <x:c r="AM64" i="17"/>
  <x:c r="H65" i="17"/>
  <x:c r="I65" i="17"/>
  <x:c r="J65" i="17"/>
  <x:c r="K65" i="17"/>
  <x:c r="R65" i="17"/>
  <x:c r="S65" i="17"/>
  <x:c r="T65" i="17"/>
  <x:c r="W65" i="17"/>
  <x:c r="X65" i="17"/>
  <x:c r="Y65" i="17"/>
  <x:c r="Z65" i="17"/>
  <x:c r="AA65" i="17"/>
  <x:c r="AB65" i="17"/>
  <x:c r="AC65" i="17"/>
  <x:c r="AG65" i="17"/>
  <x:c r="AH65" i="17"/>
  <x:c r="AI65" i="17"/>
  <x:c r="AJ65" i="17"/>
  <x:c r="AK65" i="17"/>
  <x:c r="AL65" i="17"/>
  <x:c r="AM65" i="17"/>
  <x:c r="H66" i="17"/>
  <x:c r="I66" i="17"/>
  <x:c r="J66" i="17"/>
  <x:c r="K66" i="17"/>
  <x:c r="Q66" i="17"/>
  <x:c r="R66" i="17"/>
  <x:c r="S66" i="17"/>
  <x:c r="T66" i="17"/>
  <x:c r="W66" i="17"/>
  <x:c r="X66" i="17"/>
  <x:c r="Y66" i="17"/>
  <x:c r="Z66" i="17"/>
  <x:c r="AA66" i="17"/>
  <x:c r="AB66" i="17"/>
  <x:c r="AC66" i="17"/>
  <x:c r="AG66" i="17"/>
  <x:c r="AH66" i="17"/>
  <x:c r="AI66" i="17"/>
  <x:c r="AJ66" i="17"/>
  <x:c r="AK66" i="17"/>
  <x:c r="AL66" i="17"/>
  <x:c r="AM66" i="17"/>
  <x:c r="H67" i="17"/>
  <x:c r="I67" i="17"/>
  <x:c r="J67" i="17"/>
  <x:c r="K67" i="17"/>
  <x:c r="R67" i="17"/>
  <x:c r="S67" i="17"/>
  <x:c r="T67" i="17"/>
  <x:c r="W67" i="17"/>
  <x:c r="X67" i="17"/>
  <x:c r="Y67" i="17"/>
  <x:c r="Z67" i="17"/>
  <x:c r="AA67" i="17"/>
  <x:c r="AB67" i="17"/>
  <x:c r="AC67" i="17"/>
  <x:c r="AG67" i="17"/>
  <x:c r="AH67" i="17"/>
  <x:c r="AI67" i="17"/>
  <x:c r="AJ67" i="17"/>
  <x:c r="AK67" i="17"/>
  <x:c r="AL67" i="17"/>
  <x:c r="AM67" i="17"/>
  <x:c r="R68" i="17"/>
  <x:c r="S68" i="17"/>
  <x:c r="T68" i="17"/>
  <x:c r="W68" i="17"/>
  <x:c r="X68" i="17"/>
  <x:c r="Y68" i="17"/>
  <x:c r="Z68" i="17"/>
  <x:c r="AA68" i="17"/>
  <x:c r="AB68" i="17"/>
  <x:c r="AC68" i="17"/>
  <x:c r="AG68" i="17"/>
  <x:c r="AH68" i="17"/>
  <x:c r="AI68" i="17"/>
  <x:c r="AJ68" i="17"/>
  <x:c r="AK68" i="17"/>
  <x:c r="AL68" i="17"/>
  <x:c r="AM68" i="17"/>
  <x:c r="R69" i="17"/>
  <x:c r="S69" i="17"/>
  <x:c r="T69" i="17"/>
  <x:c r="W69" i="17"/>
  <x:c r="X69" i="17"/>
  <x:c r="Y69" i="17"/>
  <x:c r="Z69" i="17"/>
  <x:c r="AA69" i="17"/>
  <x:c r="AB69" i="17"/>
  <x:c r="AC69" i="17"/>
  <x:c r="AG69" i="17"/>
  <x:c r="AH69" i="17"/>
  <x:c r="AI69" i="17"/>
  <x:c r="AJ69" i="17"/>
  <x:c r="AK69" i="17"/>
  <x:c r="AL69" i="17"/>
  <x:c r="AM69" i="17"/>
  <x:c r="H70" i="17"/>
  <x:c r="J70" i="17"/>
  <x:c r="R70" i="17"/>
  <x:c r="S70" i="17"/>
  <x:c r="T70" i="17"/>
  <x:c r="W70" i="17"/>
  <x:c r="X70" i="17"/>
  <x:c r="Y70" i="17"/>
  <x:c r="Z70" i="17"/>
  <x:c r="AA70" i="17"/>
  <x:c r="AB70" i="17"/>
  <x:c r="AC70" i="17"/>
  <x:c r="AG70" i="17"/>
  <x:c r="AH70" i="17"/>
  <x:c r="AI70" i="17"/>
  <x:c r="AJ70" i="17"/>
  <x:c r="AK70" i="17"/>
  <x:c r="AL70" i="17"/>
  <x:c r="AM70" i="17"/>
  <x:c r="R72" i="17"/>
  <x:c r="S72" i="17"/>
  <x:c r="T72" i="17"/>
  <x:c r="W72" i="17"/>
  <x:c r="X72" i="17"/>
  <x:c r="Y72" i="17"/>
  <x:c r="Z72" i="17"/>
  <x:c r="AA72" i="17"/>
  <x:c r="AB72" i="17"/>
  <x:c r="AC72" i="17"/>
  <x:c r="AG72" i="17"/>
  <x:c r="AH72" i="17"/>
  <x:c r="AI72" i="17"/>
  <x:c r="AJ72" i="17"/>
  <x:c r="AK72" i="17"/>
  <x:c r="AL72" i="17"/>
  <x:c r="AM72" i="17"/>
  <x:c r="H73" i="17"/>
  <x:c r="J73" i="17"/>
  <x:c r="R73" i="17"/>
  <x:c r="S73" i="17"/>
  <x:c r="T73" i="17"/>
  <x:c r="W73" i="17"/>
  <x:c r="X73" i="17"/>
  <x:c r="Y73" i="17"/>
  <x:c r="Z73" i="17"/>
  <x:c r="AA73" i="17"/>
  <x:c r="AB73" i="17"/>
  <x:c r="AC73" i="17"/>
  <x:c r="AG73" i="17"/>
  <x:c r="AH73" i="17"/>
  <x:c r="AI73" i="17"/>
  <x:c r="AJ73" i="17"/>
  <x:c r="AK73" i="17"/>
  <x:c r="AL73" i="17"/>
  <x:c r="AM73" i="17"/>
  <x:c r="H74" i="17"/>
  <x:c r="J74" i="17"/>
  <x:c r="S74" i="17"/>
  <x:c r="T74" i="17"/>
  <x:c r="W74" i="17"/>
  <x:c r="X74" i="17"/>
  <x:c r="Y74" i="17"/>
  <x:c r="Z74" i="17"/>
  <x:c r="AA74" i="17"/>
  <x:c r="AB74" i="17"/>
  <x:c r="AC74" i="17"/>
  <x:c r="AG74" i="17"/>
  <x:c r="AH74" i="17"/>
  <x:c r="AI74" i="17"/>
  <x:c r="AJ74" i="17"/>
  <x:c r="AK74" i="17"/>
  <x:c r="AL74" i="17"/>
  <x:c r="AM74" i="17"/>
  <x:c r="H75" i="17"/>
  <x:c r="J75" i="17"/>
  <x:c r="R75" i="17"/>
  <x:c r="S75" i="17"/>
  <x:c r="T75" i="17"/>
  <x:c r="W75" i="17"/>
  <x:c r="X75" i="17"/>
  <x:c r="Y75" i="17"/>
  <x:c r="Z75" i="17"/>
  <x:c r="AA75" i="17"/>
  <x:c r="AB75" i="17"/>
  <x:c r="AC75" i="17"/>
  <x:c r="AG75" i="17"/>
  <x:c r="AH75" i="17"/>
  <x:c r="AI75" i="17"/>
  <x:c r="AJ75" i="17"/>
  <x:c r="AK75" i="17"/>
  <x:c r="AL75" i="17"/>
  <x:c r="AM75" i="17"/>
  <x:c r="R76" i="17"/>
  <x:c r="S76" i="17"/>
  <x:c r="T76" i="17"/>
  <x:c r="W76" i="17"/>
  <x:c r="X76" i="17"/>
  <x:c r="Y76" i="17"/>
  <x:c r="Z76" i="17"/>
  <x:c r="AA76" i="17"/>
  <x:c r="AB76" i="17"/>
  <x:c r="AC76" i="17"/>
  <x:c r="AG76" i="17"/>
  <x:c r="AH76" i="17"/>
  <x:c r="AI76" i="17"/>
  <x:c r="AJ76" i="17"/>
  <x:c r="AK76" i="17"/>
  <x:c r="AL76" i="17"/>
  <x:c r="AM76" i="17"/>
  <x:c r="D77" i="17"/>
  <x:c r="R77" i="17"/>
  <x:c r="S77" i="17"/>
  <x:c r="T77" i="17"/>
  <x:c r="W77" i="17"/>
  <x:c r="X77" i="17"/>
  <x:c r="Y77" i="17"/>
  <x:c r="Z77" i="17"/>
  <x:c r="AA77" i="17"/>
  <x:c r="AB77" i="17"/>
  <x:c r="AC77" i="17"/>
  <x:c r="AG77" i="17"/>
  <x:c r="AH77" i="17"/>
  <x:c r="AI77" i="17"/>
  <x:c r="AJ77" i="17"/>
  <x:c r="AK77" i="17"/>
  <x:c r="AL77" i="17"/>
  <x:c r="AM77" i="17"/>
  <x:c r="R78" i="17"/>
  <x:c r="S78" i="17"/>
  <x:c r="T78" i="17"/>
  <x:c r="W78" i="17"/>
  <x:c r="X78" i="17"/>
  <x:c r="Y78" i="17"/>
  <x:c r="Z78" i="17"/>
  <x:c r="AA78" i="17"/>
  <x:c r="AB78" i="17"/>
  <x:c r="AC78" i="17"/>
  <x:c r="AG78" i="17"/>
  <x:c r="AH78" i="17"/>
  <x:c r="AI78" i="17"/>
  <x:c r="AJ78" i="17"/>
  <x:c r="AK78" i="17"/>
  <x:c r="AL78" i="17"/>
  <x:c r="AM78" i="17"/>
  <x:c r="R79" i="17"/>
  <x:c r="S79" i="17"/>
  <x:c r="T79" i="17"/>
  <x:c r="W79" i="17"/>
  <x:c r="X79" i="17"/>
  <x:c r="Y79" i="17"/>
  <x:c r="Z79" i="17"/>
  <x:c r="AA79" i="17"/>
  <x:c r="AB79" i="17"/>
  <x:c r="AC79" i="17"/>
  <x:c r="AG79" i="17"/>
  <x:c r="AH79" i="17"/>
  <x:c r="AI79" i="17"/>
  <x:c r="AJ79" i="17"/>
  <x:c r="AK79" i="17"/>
  <x:c r="AL79" i="17"/>
  <x:c r="AM79" i="17"/>
  <x:c r="R80" i="17"/>
  <x:c r="S80" i="17"/>
  <x:c r="T80" i="17"/>
  <x:c r="W80" i="17"/>
  <x:c r="X80" i="17"/>
  <x:c r="Y80" i="17"/>
  <x:c r="Z80" i="17"/>
  <x:c r="AA80" i="17"/>
  <x:c r="AB80" i="17"/>
  <x:c r="AC80" i="17"/>
  <x:c r="AG80" i="17"/>
  <x:c r="AH80" i="17"/>
  <x:c r="AI80" i="17"/>
  <x:c r="AJ80" i="17"/>
  <x:c r="AK80" i="17"/>
  <x:c r="AL80" i="17"/>
  <x:c r="AM80" i="17"/>
  <x:c r="S82" i="17"/>
  <x:c r="T82" i="17"/>
  <x:c r="U82" i="17"/>
  <x:c r="W82" i="17"/>
  <x:c r="X82" i="17"/>
  <x:c r="Y82" i="17"/>
  <x:c r="Z82" i="17"/>
  <x:c r="AA82" i="17"/>
  <x:c r="AB82" i="17"/>
  <x:c r="AC82" i="17"/>
  <x:c r="W83" i="17"/>
  <x:c r="X83" i="17"/>
  <x:c r="Y83" i="17"/>
  <x:c r="Z83" i="17"/>
  <x:c r="AA83" i="17"/>
  <x:c r="AB83" i="17"/>
  <x:c r="AC83" i="17"/>
  <x:c r="W84" i="17"/>
  <x:c r="X84" i="17"/>
  <x:c r="Y84" i="17"/>
  <x:c r="Z84" i="17"/>
  <x:c r="AA84" i="17"/>
  <x:c r="AB84" i="17"/>
  <x:c r="AC84" i="17"/>
  <x:c r="W85" i="17"/>
  <x:c r="X85" i="17"/>
  <x:c r="Y85" i="17"/>
  <x:c r="Z85" i="17"/>
  <x:c r="AA85" i="17"/>
  <x:c r="AB85" i="17"/>
  <x:c r="AC85" i="17"/>
  <x:c r="W86" i="17"/>
  <x:c r="X86" i="17"/>
  <x:c r="Y86" i="17"/>
  <x:c r="Z86" i="17"/>
  <x:c r="AA86" i="17"/>
  <x:c r="AB86" i="17"/>
  <x:c r="AC86" i="17"/>
  <x:c r="H5" i="18"/>
  <x:c r="I5" i="18"/>
  <x:c r="J5" i="18"/>
  <x:c r="K5" i="18"/>
  <x:c r="H6" i="18"/>
  <x:c r="I6" i="18"/>
  <x:c r="J6" i="18"/>
  <x:c r="K6" i="18"/>
  <x:c r="H7" i="18"/>
  <x:c r="I7" i="18"/>
  <x:c r="J7" i="18"/>
  <x:c r="K7" i="18"/>
  <x:c r="H8" i="18"/>
  <x:c r="I8" i="18"/>
  <x:c r="J8" i="18"/>
  <x:c r="K8" i="18"/>
  <x:c r="H11" i="18"/>
  <x:c r="I11" i="18"/>
  <x:c r="J11" i="18"/>
  <x:c r="K11" i="18"/>
  <x:c r="H12" i="18"/>
  <x:c r="I12" i="18"/>
  <x:c r="J12" i="18"/>
  <x:c r="K12" i="18"/>
  <x:c r="H13" i="18"/>
  <x:c r="I13" i="18"/>
  <x:c r="J13" i="18"/>
  <x:c r="K13" i="18"/>
  <x:c r="H14" i="18"/>
  <x:c r="I14" i="18"/>
  <x:c r="J14" i="18"/>
  <x:c r="K14" i="18"/>
  <x:c r="H17" i="18"/>
  <x:c r="I17" i="18"/>
  <x:c r="J17" i="18"/>
  <x:c r="K17" i="18"/>
  <x:c r="H18" i="18"/>
  <x:c r="I18" i="18"/>
  <x:c r="J18" i="18"/>
  <x:c r="K18" i="18"/>
  <x:c r="R18" i="18"/>
  <x:c r="S18" i="18"/>
  <x:c r="T18" i="18"/>
  <x:c r="W18" i="18"/>
  <x:c r="X18" i="18"/>
  <x:c r="Y18" i="18"/>
  <x:c r="Z18" i="18"/>
  <x:c r="AA18" i="18"/>
  <x:c r="AB18" i="18"/>
  <x:c r="AC18" i="18"/>
  <x:c r="AG18" i="18"/>
  <x:c r="AH18" i="18"/>
  <x:c r="AI18" i="18"/>
  <x:c r="AJ18" i="18"/>
  <x:c r="AK18" i="18"/>
  <x:c r="AL18" i="18"/>
  <x:c r="AM18" i="18"/>
  <x:c r="H19" i="18"/>
  <x:c r="I19" i="18"/>
  <x:c r="J19" i="18"/>
  <x:c r="K19" i="18"/>
  <x:c r="R19" i="18"/>
  <x:c r="S19" i="18"/>
  <x:c r="T19" i="18"/>
  <x:c r="W19" i="18"/>
  <x:c r="X19" i="18"/>
  <x:c r="Y19" i="18"/>
  <x:c r="Z19" i="18"/>
  <x:c r="AA19" i="18"/>
  <x:c r="AB19" i="18"/>
  <x:c r="AC19" i="18"/>
  <x:c r="AG19" i="18"/>
  <x:c r="AH19" i="18"/>
  <x:c r="AI19" i="18"/>
  <x:c r="AJ19" i="18"/>
  <x:c r="AK19" i="18"/>
  <x:c r="AL19" i="18"/>
  <x:c r="AM19" i="18"/>
  <x:c r="H20" i="18"/>
  <x:c r="I20" i="18"/>
  <x:c r="J20" i="18"/>
  <x:c r="K20" i="18"/>
  <x:c r="R20" i="18"/>
  <x:c r="S20" i="18"/>
  <x:c r="T20" i="18"/>
  <x:c r="W20" i="18"/>
  <x:c r="X20" i="18"/>
  <x:c r="Y20" i="18"/>
  <x:c r="Z20" i="18"/>
  <x:c r="AA20" i="18"/>
  <x:c r="AB20" i="18"/>
  <x:c r="AC20" i="18"/>
  <x:c r="AG20" i="18"/>
  <x:c r="AH20" i="18"/>
  <x:c r="AI20" i="18"/>
  <x:c r="AJ20" i="18"/>
  <x:c r="AK20" i="18"/>
  <x:c r="AL20" i="18"/>
  <x:c r="AM20" i="18"/>
  <x:c r="R21" i="18"/>
  <x:c r="S21" i="18"/>
  <x:c r="T21" i="18"/>
  <x:c r="W21" i="18"/>
  <x:c r="X21" i="18"/>
  <x:c r="Y21" i="18"/>
  <x:c r="Z21" i="18"/>
  <x:c r="AA21" i="18"/>
  <x:c r="AB21" i="18"/>
  <x:c r="AC21" i="18"/>
  <x:c r="AG21" i="18"/>
  <x:c r="AH21" i="18"/>
  <x:c r="AI21" i="18"/>
  <x:c r="AJ21" i="18"/>
  <x:c r="AK21" i="18"/>
  <x:c r="AL21" i="18"/>
  <x:c r="AM21" i="18"/>
  <x:c r="Q22" i="18"/>
  <x:c r="R22" i="18"/>
  <x:c r="S22" i="18"/>
  <x:c r="T22" i="18"/>
  <x:c r="W22" i="18"/>
  <x:c r="X22" i="18"/>
  <x:c r="Y22" i="18"/>
  <x:c r="Z22" i="18"/>
  <x:c r="AA22" i="18"/>
  <x:c r="AB22" i="18"/>
  <x:c r="AC22" i="18"/>
  <x:c r="AG22" i="18"/>
  <x:c r="AH22" i="18"/>
  <x:c r="AI22" i="18"/>
  <x:c r="AJ22" i="18"/>
  <x:c r="AK22" i="18"/>
  <x:c r="AL22" i="18"/>
  <x:c r="AM22" i="18"/>
  <x:c r="H23" i="18"/>
  <x:c r="J23" i="18"/>
  <x:c r="R23" i="18"/>
  <x:c r="S23" i="18"/>
  <x:c r="T23" i="18"/>
  <x:c r="W23" i="18"/>
  <x:c r="X23" i="18"/>
  <x:c r="Y23" i="18"/>
  <x:c r="Z23" i="18"/>
  <x:c r="AA23" i="18"/>
  <x:c r="AB23" i="18"/>
  <x:c r="AC23" i="18"/>
  <x:c r="AG23" i="18"/>
  <x:c r="AH23" i="18"/>
  <x:c r="AI23" i="18"/>
  <x:c r="AJ23" i="18"/>
  <x:c r="AK23" i="18"/>
  <x:c r="AL23" i="18"/>
  <x:c r="AM23" i="18"/>
  <x:c r="H24" i="18"/>
  <x:c r="R24" i="18"/>
  <x:c r="S24" i="18"/>
  <x:c r="T24" i="18"/>
  <x:c r="W24" i="18"/>
  <x:c r="X24" i="18"/>
  <x:c r="Y24" i="18"/>
  <x:c r="Z24" i="18"/>
  <x:c r="AA24" i="18"/>
  <x:c r="AB24" i="18"/>
  <x:c r="AC24" i="18"/>
  <x:c r="AG24" i="18"/>
  <x:c r="AH24" i="18"/>
  <x:c r="AI24" i="18"/>
  <x:c r="AJ24" i="18"/>
  <x:c r="AK24" i="18"/>
  <x:c r="AL24" i="18"/>
  <x:c r="AM24" i="18"/>
  <x:c r="R25" i="18"/>
  <x:c r="S25" i="18"/>
  <x:c r="T25" i="18"/>
  <x:c r="W25" i="18"/>
  <x:c r="X25" i="18"/>
  <x:c r="Y25" i="18"/>
  <x:c r="Z25" i="18"/>
  <x:c r="AA25" i="18"/>
  <x:c r="AB25" i="18"/>
  <x:c r="AC25" i="18"/>
  <x:c r="AG25" i="18"/>
  <x:c r="AH25" i="18"/>
  <x:c r="AI25" i="18"/>
  <x:c r="AJ25" i="18"/>
  <x:c r="AK25" i="18"/>
  <x:c r="AL25" i="18"/>
  <x:c r="AM25" i="18"/>
  <x:c r="R26" i="18"/>
  <x:c r="S26" i="18"/>
  <x:c r="T26" i="18"/>
  <x:c r="W26" i="18"/>
  <x:c r="X26" i="18"/>
  <x:c r="Y26" i="18"/>
  <x:c r="Z26" i="18"/>
  <x:c r="AA26" i="18"/>
  <x:c r="AB26" i="18"/>
  <x:c r="AC26" i="18"/>
  <x:c r="AG26" i="18"/>
  <x:c r="AH26" i="18"/>
  <x:c r="AI26" i="18"/>
  <x:c r="AJ26" i="18"/>
  <x:c r="AK26" i="18"/>
  <x:c r="AL26" i="18"/>
  <x:c r="AM26" i="18"/>
  <x:c r="H27" i="18"/>
  <x:c r="J27" i="18"/>
  <x:c r="R28" i="18"/>
  <x:c r="S28" i="18"/>
  <x:c r="T28" i="18"/>
  <x:c r="W28" i="18"/>
  <x:c r="X28" i="18"/>
  <x:c r="Y28" i="18"/>
  <x:c r="Z28" i="18"/>
  <x:c r="AA28" i="18"/>
  <x:c r="AB28" i="18"/>
  <x:c r="AC28" i="18"/>
  <x:c r="AG28" i="18"/>
  <x:c r="AH28" i="18"/>
  <x:c r="AI28" i="18"/>
  <x:c r="AJ28" i="18"/>
  <x:c r="AK28" i="18"/>
  <x:c r="AL28" i="18"/>
  <x:c r="AM28" i="18"/>
  <x:c r="R29" i="18"/>
  <x:c r="S29" i="18"/>
  <x:c r="T29" i="18"/>
  <x:c r="W29" i="18"/>
  <x:c r="X29" i="18"/>
  <x:c r="Y29" i="18"/>
  <x:c r="Z29" i="18"/>
  <x:c r="AA29" i="18"/>
  <x:c r="AB29" i="18"/>
  <x:c r="AC29" i="18"/>
  <x:c r="AG29" i="18"/>
  <x:c r="AH29" i="18"/>
  <x:c r="AI29" i="18"/>
  <x:c r="AJ29" i="18"/>
  <x:c r="AK29" i="18"/>
  <x:c r="AL29" i="18"/>
  <x:c r="AM29" i="18"/>
  <x:c r="H30" i="18"/>
  <x:c r="J30" i="18"/>
  <x:c r="S30" i="18"/>
  <x:c r="T30" i="18"/>
  <x:c r="W30" i="18"/>
  <x:c r="X30" i="18"/>
  <x:c r="Y30" i="18"/>
  <x:c r="Z30" i="18"/>
  <x:c r="AA30" i="18"/>
  <x:c r="AB30" i="18"/>
  <x:c r="AC30" i="18"/>
  <x:c r="AG30" i="18"/>
  <x:c r="AH30" i="18"/>
  <x:c r="AI30" i="18"/>
  <x:c r="AJ30" i="18"/>
  <x:c r="AK30" i="18"/>
  <x:c r="AL30" i="18"/>
  <x:c r="AM30" i="18"/>
  <x:c r="R31" i="18"/>
  <x:c r="S31" i="18"/>
  <x:c r="T31" i="18"/>
  <x:c r="W31" i="18"/>
  <x:c r="X31" i="18"/>
  <x:c r="Y31" i="18"/>
  <x:c r="Z31" i="18"/>
  <x:c r="AA31" i="18"/>
  <x:c r="AB31" i="18"/>
  <x:c r="AC31" i="18"/>
  <x:c r="AG31" i="18"/>
  <x:c r="AH31" i="18"/>
  <x:c r="AI31" i="18"/>
  <x:c r="AJ31" i="18"/>
  <x:c r="AK31" i="18"/>
  <x:c r="AL31" i="18"/>
  <x:c r="AM31" i="18"/>
  <x:c r="R32" i="18"/>
  <x:c r="S32" i="18"/>
  <x:c r="T32" i="18"/>
  <x:c r="W32" i="18"/>
  <x:c r="X32" i="18"/>
  <x:c r="Y32" i="18"/>
  <x:c r="Z32" i="18"/>
  <x:c r="AA32" i="18"/>
  <x:c r="AB32" i="18"/>
  <x:c r="AC32" i="18"/>
  <x:c r="AG32" i="18"/>
  <x:c r="AH32" i="18"/>
  <x:c r="AI32" i="18"/>
  <x:c r="AJ32" i="18"/>
  <x:c r="AK32" i="18"/>
  <x:c r="AL32" i="18"/>
  <x:c r="AM32" i="18"/>
  <x:c r="H33" i="18"/>
  <x:c r="R33" i="18"/>
  <x:c r="S33" i="18"/>
  <x:c r="T33" i="18"/>
  <x:c r="W33" i="18"/>
  <x:c r="X33" i="18"/>
  <x:c r="Y33" i="18"/>
  <x:c r="Z33" i="18"/>
  <x:c r="AA33" i="18"/>
  <x:c r="AB33" i="18"/>
  <x:c r="AC33" i="18"/>
  <x:c r="AG33" i="18"/>
  <x:c r="AH33" i="18"/>
  <x:c r="AI33" i="18"/>
  <x:c r="AJ33" i="18"/>
  <x:c r="AK33" i="18"/>
  <x:c r="AL33" i="18"/>
  <x:c r="AM33" i="18"/>
  <x:c r="R34" i="18"/>
  <x:c r="S34" i="18"/>
  <x:c r="T34" i="18"/>
  <x:c r="W34" i="18"/>
  <x:c r="X34" i="18"/>
  <x:c r="Y34" i="18"/>
  <x:c r="Z34" i="18"/>
  <x:c r="AA34" i="18"/>
  <x:c r="AB34" i="18"/>
  <x:c r="AC34" i="18"/>
  <x:c r="AG34" i="18"/>
  <x:c r="AH34" i="18"/>
  <x:c r="AI34" i="18"/>
  <x:c r="AJ34" i="18"/>
  <x:c r="AK34" i="18"/>
  <x:c r="AL34" i="18"/>
  <x:c r="AM34" i="18"/>
  <x:c r="R35" i="18"/>
  <x:c r="S35" i="18"/>
  <x:c r="T35" i="18"/>
  <x:c r="W35" i="18"/>
  <x:c r="X35" i="18"/>
  <x:c r="Y35" i="18"/>
  <x:c r="Z35" i="18"/>
  <x:c r="AA35" i="18"/>
  <x:c r="AB35" i="18"/>
  <x:c r="AC35" i="18"/>
  <x:c r="AG35" i="18"/>
  <x:c r="AH35" i="18"/>
  <x:c r="AI35" i="18"/>
  <x:c r="AJ35" i="18"/>
  <x:c r="AK35" i="18"/>
  <x:c r="AL35" i="18"/>
  <x:c r="AM35" i="18"/>
  <x:c r="H36" i="18"/>
  <x:c r="I36" i="18"/>
  <x:c r="J36" i="18"/>
  <x:c r="K36" i="18"/>
  <x:c r="R36" i="18"/>
  <x:c r="S36" i="18"/>
  <x:c r="T36" i="18"/>
  <x:c r="W36" i="18"/>
  <x:c r="X36" i="18"/>
  <x:c r="Y36" i="18"/>
  <x:c r="Z36" i="18"/>
  <x:c r="AA36" i="18"/>
  <x:c r="AB36" i="18"/>
  <x:c r="AC36" i="18"/>
  <x:c r="AG36" i="18"/>
  <x:c r="AH36" i="18"/>
  <x:c r="AI36" i="18"/>
  <x:c r="AJ36" i="18"/>
  <x:c r="AK36" i="18"/>
  <x:c r="AL36" i="18"/>
  <x:c r="AM36" i="18"/>
  <x:c r="H37" i="18"/>
  <x:c r="I37" i="18"/>
  <x:c r="J37" i="18"/>
  <x:c r="K37" i="18"/>
  <x:c r="H38" i="18"/>
  <x:c r="I38" i="18"/>
  <x:c r="J38" i="18"/>
  <x:c r="K38" i="18"/>
  <x:c r="S38" i="18"/>
  <x:c r="T38" i="18"/>
  <x:c r="U38" i="18"/>
  <x:c r="W38" i="18"/>
  <x:c r="X38" i="18"/>
  <x:c r="Y38" i="18"/>
  <x:c r="Z38" i="18"/>
  <x:c r="AA38" i="18"/>
  <x:c r="AB38" i="18"/>
  <x:c r="AC38" i="18"/>
  <x:c r="H39" i="18"/>
  <x:c r="I39" i="18"/>
  <x:c r="J39" i="18"/>
  <x:c r="K39" i="18"/>
  <x:c r="W39" i="18"/>
  <x:c r="X39" i="18"/>
  <x:c r="Y39" i="18"/>
  <x:c r="Z39" i="18"/>
  <x:c r="AA39" i="18"/>
  <x:c r="AB39" i="18"/>
  <x:c r="AC39" i="18"/>
  <x:c r="H40" i="18"/>
  <x:c r="I40" i="18"/>
  <x:c r="J40" i="18"/>
  <x:c r="K40" i="18"/>
  <x:c r="W40" i="18"/>
  <x:c r="X40" i="18"/>
  <x:c r="Y40" i="18"/>
  <x:c r="Z40" i="18"/>
  <x:c r="AA40" i="18"/>
  <x:c r="AB40" i="18"/>
  <x:c r="AC40" i="18"/>
  <x:c r="H41" i="18"/>
  <x:c r="I41" i="18"/>
  <x:c r="J41" i="18"/>
  <x:c r="K41" i="18"/>
  <x:c r="W41" i="18"/>
  <x:c r="X41" i="18"/>
  <x:c r="Y41" i="18"/>
  <x:c r="Z41" i="18"/>
  <x:c r="AA41" i="18"/>
  <x:c r="AB41" i="18"/>
  <x:c r="AC41" i="18"/>
  <x:c r="H42" i="18"/>
  <x:c r="I42" i="18"/>
  <x:c r="J42" i="18"/>
  <x:c r="K42" i="18"/>
  <x:c r="W42" i="18"/>
  <x:c r="X42" i="18"/>
  <x:c r="Y42" i="18"/>
  <x:c r="Z42" i="18"/>
  <x:c r="AA42" i="18"/>
  <x:c r="AB42" i="18"/>
  <x:c r="AC42" i="18"/>
  <x:c r="H43" i="18"/>
  <x:c r="I43" i="18"/>
  <x:c r="J43" i="18"/>
  <x:c r="K43" i="18"/>
  <x:c r="H44" i="18"/>
  <x:c r="I44" i="18"/>
  <x:c r="J44" i="18"/>
  <x:c r="K44" i="18"/>
  <x:c r="H45" i="18"/>
  <x:c r="I45" i="18"/>
  <x:c r="J45" i="18"/>
  <x:c r="K45" i="18"/>
  <x:c r="H46" i="18"/>
  <x:c r="I46" i="18"/>
  <x:c r="J46" i="18"/>
  <x:c r="K46" i="18"/>
  <x:c r="H47" i="18"/>
  <x:c r="I47" i="18"/>
  <x:c r="J47" i="18"/>
  <x:c r="K47" i="18"/>
  <x:c r="H48" i="18"/>
  <x:c r="I48" i="18"/>
  <x:c r="J48" i="18"/>
  <x:c r="K48" i="18"/>
  <x:c r="H49" i="18"/>
  <x:c r="I49" i="18"/>
  <x:c r="J49" i="18"/>
  <x:c r="K49" i="18"/>
  <x:c r="H50" i="18"/>
  <x:c r="I50" i="18"/>
  <x:c r="J50" i="18"/>
  <x:c r="K50" i="18"/>
  <x:c r="H53" i="18"/>
  <x:c r="I53" i="18"/>
  <x:c r="J53" i="18"/>
  <x:c r="K53" i="18"/>
  <x:c r="H54" i="18"/>
  <x:c r="I54" i="18"/>
  <x:c r="J54" i="18"/>
  <x:c r="K54" i="18"/>
  <x:c r="H55" i="18"/>
  <x:c r="I55" i="18"/>
  <x:c r="J55" i="18"/>
  <x:c r="K55" i="18"/>
  <x:c r="H56" i="18"/>
  <x:c r="I56" i="18"/>
  <x:c r="J56" i="18"/>
  <x:c r="K56" i="18"/>
  <x:c r="H57" i="18"/>
  <x:c r="I57" i="18"/>
  <x:c r="J57" i="18"/>
  <x:c r="K57" i="18"/>
  <x:c r="H58" i="18"/>
  <x:c r="I58" i="18"/>
  <x:c r="J58" i="18"/>
  <x:c r="K58" i="18"/>
  <x:c r="H59" i="18"/>
  <x:c r="I59" i="18"/>
  <x:c r="J59" i="18"/>
  <x:c r="K59" i="18"/>
  <x:c r="H60" i="18"/>
  <x:c r="I60" i="18"/>
  <x:c r="J60" i="18"/>
  <x:c r="K60" i="18"/>
  <x:c r="H61" i="18"/>
  <x:c r="I61" i="18"/>
  <x:c r="J61" i="18"/>
  <x:c r="K61" i="18"/>
  <x:c r="H62" i="18"/>
  <x:c r="I62" i="18"/>
  <x:c r="J62" i="18"/>
  <x:c r="K62" i="18"/>
  <x:c r="R62" i="18"/>
  <x:c r="S62" i="18"/>
  <x:c r="T62" i="18"/>
  <x:c r="W62" i="18"/>
  <x:c r="X62" i="18"/>
  <x:c r="Y62" i="18"/>
  <x:c r="Z62" i="18"/>
  <x:c r="AA62" i="18"/>
  <x:c r="AB62" i="18"/>
  <x:c r="AC62" i="18"/>
  <x:c r="AG62" i="18"/>
  <x:c r="AH62" i="18"/>
  <x:c r="AI62" i="18"/>
  <x:c r="AJ62" i="18"/>
  <x:c r="AK62" i="18"/>
  <x:c r="AL62" i="18"/>
  <x:c r="AM62" i="18"/>
  <x:c r="H63" i="18"/>
  <x:c r="I63" i="18"/>
  <x:c r="J63" i="18"/>
  <x:c r="K63" i="18"/>
  <x:c r="R63" i="18"/>
  <x:c r="S63" i="18"/>
  <x:c r="T63" i="18"/>
  <x:c r="W63" i="18"/>
  <x:c r="X63" i="18"/>
  <x:c r="Y63" i="18"/>
  <x:c r="Z63" i="18"/>
  <x:c r="AA63" i="18"/>
  <x:c r="AB63" i="18"/>
  <x:c r="AC63" i="18"/>
  <x:c r="AG63" i="18"/>
  <x:c r="AH63" i="18"/>
  <x:c r="AI63" i="18"/>
  <x:c r="AJ63" i="18"/>
  <x:c r="AK63" i="18"/>
  <x:c r="AL63" i="18"/>
  <x:c r="AM63" i="18"/>
  <x:c r="H64" i="18"/>
  <x:c r="I64" i="18"/>
  <x:c r="J64" i="18"/>
  <x:c r="K64" i="18"/>
  <x:c r="R64" i="18"/>
  <x:c r="S64" i="18"/>
  <x:c r="T64" i="18"/>
  <x:c r="W64" i="18"/>
  <x:c r="X64" i="18"/>
  <x:c r="Y64" i="18"/>
  <x:c r="Z64" i="18"/>
  <x:c r="AA64" i="18"/>
  <x:c r="AB64" i="18"/>
  <x:c r="AC64" i="18"/>
  <x:c r="AG64" i="18"/>
  <x:c r="AH64" i="18"/>
  <x:c r="AI64" i="18"/>
  <x:c r="AJ64" i="18"/>
  <x:c r="AK64" i="18"/>
  <x:c r="AL64" i="18"/>
  <x:c r="AM64" i="18"/>
  <x:c r="H65" i="18"/>
  <x:c r="I65" i="18"/>
  <x:c r="J65" i="18"/>
  <x:c r="K65" i="18"/>
  <x:c r="R65" i="18"/>
  <x:c r="S65" i="18"/>
  <x:c r="T65" i="18"/>
  <x:c r="W65" i="18"/>
  <x:c r="X65" i="18"/>
  <x:c r="Y65" i="18"/>
  <x:c r="Z65" i="18"/>
  <x:c r="AA65" i="18"/>
  <x:c r="AB65" i="18"/>
  <x:c r="AC65" i="18"/>
  <x:c r="AG65" i="18"/>
  <x:c r="AH65" i="18"/>
  <x:c r="AI65" i="18"/>
  <x:c r="AJ65" i="18"/>
  <x:c r="AK65" i="18"/>
  <x:c r="AL65" i="18"/>
  <x:c r="AM65" i="18"/>
  <x:c r="H66" i="18"/>
  <x:c r="I66" i="18"/>
  <x:c r="J66" i="18"/>
  <x:c r="K66" i="18"/>
  <x:c r="Q66" i="18"/>
  <x:c r="R66" i="18"/>
  <x:c r="S66" i="18"/>
  <x:c r="T66" i="18"/>
  <x:c r="W66" i="18"/>
  <x:c r="X66" i="18"/>
  <x:c r="Y66" i="18"/>
  <x:c r="Z66" i="18"/>
  <x:c r="AA66" i="18"/>
  <x:c r="AB66" i="18"/>
  <x:c r="AC66" i="18"/>
  <x:c r="AG66" i="18"/>
  <x:c r="AH66" i="18"/>
  <x:c r="AI66" i="18"/>
  <x:c r="AJ66" i="18"/>
  <x:c r="AK66" i="18"/>
  <x:c r="AL66" i="18"/>
  <x:c r="AM66" i="18"/>
  <x:c r="H67" i="18"/>
  <x:c r="I67" i="18"/>
  <x:c r="J67" i="18"/>
  <x:c r="K67" i="18"/>
  <x:c r="R67" i="18"/>
  <x:c r="S67" i="18"/>
  <x:c r="T67" i="18"/>
  <x:c r="W67" i="18"/>
  <x:c r="X67" i="18"/>
  <x:c r="Y67" i="18"/>
  <x:c r="Z67" i="18"/>
  <x:c r="AA67" i="18"/>
  <x:c r="AB67" i="18"/>
  <x:c r="AC67" i="18"/>
  <x:c r="AG67" i="18"/>
  <x:c r="AH67" i="18"/>
  <x:c r="AI67" i="18"/>
  <x:c r="AJ67" i="18"/>
  <x:c r="AK67" i="18"/>
  <x:c r="AL67" i="18"/>
  <x:c r="AM67" i="18"/>
  <x:c r="R68" i="18"/>
  <x:c r="S68" i="18"/>
  <x:c r="T68" i="18"/>
  <x:c r="W68" i="18"/>
  <x:c r="X68" i="18"/>
  <x:c r="Y68" i="18"/>
  <x:c r="Z68" i="18"/>
  <x:c r="AA68" i="18"/>
  <x:c r="AB68" i="18"/>
  <x:c r="AC68" i="18"/>
  <x:c r="AG68" i="18"/>
  <x:c r="AH68" i="18"/>
  <x:c r="AI68" i="18"/>
  <x:c r="AJ68" i="18"/>
  <x:c r="AK68" i="18"/>
  <x:c r="AL68" i="18"/>
  <x:c r="AM68" i="18"/>
  <x:c r="R69" i="18"/>
  <x:c r="S69" i="18"/>
  <x:c r="T69" i="18"/>
  <x:c r="W69" i="18"/>
  <x:c r="X69" i="18"/>
  <x:c r="Y69" i="18"/>
  <x:c r="Z69" i="18"/>
  <x:c r="AA69" i="18"/>
  <x:c r="AB69" i="18"/>
  <x:c r="AC69" i="18"/>
  <x:c r="AG69" i="18"/>
  <x:c r="AH69" i="18"/>
  <x:c r="AI69" i="18"/>
  <x:c r="AJ69" i="18"/>
  <x:c r="AK69" i="18"/>
  <x:c r="AL69" i="18"/>
  <x:c r="AM69" i="18"/>
  <x:c r="H70" i="18"/>
  <x:c r="J70" i="18"/>
  <x:c r="R70" i="18"/>
  <x:c r="S70" i="18"/>
  <x:c r="T70" i="18"/>
  <x:c r="W70" i="18"/>
  <x:c r="X70" i="18"/>
  <x:c r="Y70" i="18"/>
  <x:c r="Z70" i="18"/>
  <x:c r="AA70" i="18"/>
  <x:c r="AB70" i="18"/>
  <x:c r="AC70" i="18"/>
  <x:c r="AG70" i="18"/>
  <x:c r="AH70" i="18"/>
  <x:c r="AI70" i="18"/>
  <x:c r="AJ70" i="18"/>
  <x:c r="AK70" i="18"/>
  <x:c r="AL70" i="18"/>
  <x:c r="AM70" i="18"/>
  <x:c r="R72" i="18"/>
  <x:c r="S72" i="18"/>
  <x:c r="T72" i="18"/>
  <x:c r="W72" i="18"/>
  <x:c r="X72" i="18"/>
  <x:c r="Y72" i="18"/>
  <x:c r="Z72" i="18"/>
  <x:c r="AA72" i="18"/>
  <x:c r="AB72" i="18"/>
  <x:c r="AC72" i="18"/>
  <x:c r="AG72" i="18"/>
  <x:c r="AH72" i="18"/>
  <x:c r="AI72" i="18"/>
  <x:c r="AJ72" i="18"/>
  <x:c r="AK72" i="18"/>
  <x:c r="AL72" i="18"/>
  <x:c r="AM72" i="18"/>
  <x:c r="H73" i="18"/>
  <x:c r="J73" i="18"/>
  <x:c r="R73" i="18"/>
  <x:c r="S73" i="18"/>
  <x:c r="T73" i="18"/>
  <x:c r="W73" i="18"/>
  <x:c r="X73" i="18"/>
  <x:c r="Y73" i="18"/>
  <x:c r="Z73" i="18"/>
  <x:c r="AA73" i="18"/>
  <x:c r="AB73" i="18"/>
  <x:c r="AC73" i="18"/>
  <x:c r="AG73" i="18"/>
  <x:c r="AH73" i="18"/>
  <x:c r="AI73" i="18"/>
  <x:c r="AJ73" i="18"/>
  <x:c r="AK73" i="18"/>
  <x:c r="AL73" i="18"/>
  <x:c r="AM73" i="18"/>
  <x:c r="H74" i="18"/>
  <x:c r="J74" i="18"/>
  <x:c r="S74" i="18"/>
  <x:c r="T74" i="18"/>
  <x:c r="W74" i="18"/>
  <x:c r="X74" i="18"/>
  <x:c r="Y74" i="18"/>
  <x:c r="Z74" i="18"/>
  <x:c r="AA74" i="18"/>
  <x:c r="AB74" i="18"/>
  <x:c r="AC74" i="18"/>
  <x:c r="AG74" i="18"/>
  <x:c r="AH74" i="18"/>
  <x:c r="AI74" i="18"/>
  <x:c r="AJ74" i="18"/>
  <x:c r="AK74" i="18"/>
  <x:c r="AL74" i="18"/>
  <x:c r="AM74" i="18"/>
  <x:c r="H75" i="18"/>
  <x:c r="J75" i="18"/>
  <x:c r="R75" i="18"/>
  <x:c r="S75" i="18"/>
  <x:c r="T75" i="18"/>
  <x:c r="W75" i="18"/>
  <x:c r="X75" i="18"/>
  <x:c r="Y75" i="18"/>
  <x:c r="Z75" i="18"/>
  <x:c r="AA75" i="18"/>
  <x:c r="AB75" i="18"/>
  <x:c r="AC75" i="18"/>
  <x:c r="AG75" i="18"/>
  <x:c r="AH75" i="18"/>
  <x:c r="AI75" i="18"/>
  <x:c r="AJ75" i="18"/>
  <x:c r="AK75" i="18"/>
  <x:c r="AL75" i="18"/>
  <x:c r="AM75" i="18"/>
  <x:c r="R76" i="18"/>
  <x:c r="S76" i="18"/>
  <x:c r="T76" i="18"/>
  <x:c r="W76" i="18"/>
  <x:c r="X76" i="18"/>
  <x:c r="Y76" i="18"/>
  <x:c r="Z76" i="18"/>
  <x:c r="AA76" i="18"/>
  <x:c r="AB76" i="18"/>
  <x:c r="AC76" i="18"/>
  <x:c r="AG76" i="18"/>
  <x:c r="AH76" i="18"/>
  <x:c r="AI76" i="18"/>
  <x:c r="AJ76" i="18"/>
  <x:c r="AK76" i="18"/>
  <x:c r="AL76" i="18"/>
  <x:c r="AM76" i="18"/>
  <x:c r="D77" i="18"/>
  <x:c r="R77" i="18"/>
  <x:c r="S77" i="18"/>
  <x:c r="T77" i="18"/>
  <x:c r="W77" i="18"/>
  <x:c r="X77" i="18"/>
  <x:c r="Y77" i="18"/>
  <x:c r="Z77" i="18"/>
  <x:c r="AA77" i="18"/>
  <x:c r="AB77" i="18"/>
  <x:c r="AC77" i="18"/>
  <x:c r="AG77" i="18"/>
  <x:c r="AH77" i="18"/>
  <x:c r="AI77" i="18"/>
  <x:c r="AJ77" i="18"/>
  <x:c r="AK77" i="18"/>
  <x:c r="AL77" i="18"/>
  <x:c r="AM77" i="18"/>
  <x:c r="R78" i="18"/>
  <x:c r="S78" i="18"/>
  <x:c r="T78" i="18"/>
  <x:c r="W78" i="18"/>
  <x:c r="X78" i="18"/>
  <x:c r="Y78" i="18"/>
  <x:c r="Z78" i="18"/>
  <x:c r="AA78" i="18"/>
  <x:c r="AB78" i="18"/>
  <x:c r="AC78" i="18"/>
  <x:c r="AG78" i="18"/>
  <x:c r="AH78" i="18"/>
  <x:c r="AI78" i="18"/>
  <x:c r="AJ78" i="18"/>
  <x:c r="AK78" i="18"/>
  <x:c r="AL78" i="18"/>
  <x:c r="AM78" i="18"/>
  <x:c r="R79" i="18"/>
  <x:c r="S79" i="18"/>
  <x:c r="T79" i="18"/>
  <x:c r="W79" i="18"/>
  <x:c r="X79" i="18"/>
  <x:c r="Y79" i="18"/>
  <x:c r="Z79" i="18"/>
  <x:c r="AA79" i="18"/>
  <x:c r="AB79" i="18"/>
  <x:c r="AC79" i="18"/>
  <x:c r="AG79" i="18"/>
  <x:c r="AH79" i="18"/>
  <x:c r="AI79" i="18"/>
  <x:c r="AJ79" i="18"/>
  <x:c r="AK79" i="18"/>
  <x:c r="AL79" i="18"/>
  <x:c r="AM79" i="18"/>
  <x:c r="R80" i="18"/>
  <x:c r="S80" i="18"/>
  <x:c r="T80" i="18"/>
  <x:c r="W80" i="18"/>
  <x:c r="X80" i="18"/>
  <x:c r="Y80" i="18"/>
  <x:c r="Z80" i="18"/>
  <x:c r="AA80" i="18"/>
  <x:c r="AB80" i="18"/>
  <x:c r="AC80" i="18"/>
  <x:c r="AG80" i="18"/>
  <x:c r="AH80" i="18"/>
  <x:c r="AI80" i="18"/>
  <x:c r="AJ80" i="18"/>
  <x:c r="AK80" i="18"/>
  <x:c r="AL80" i="18"/>
  <x:c r="AM80" i="18"/>
  <x:c r="S82" i="18"/>
  <x:c r="T82" i="18"/>
  <x:c r="U82" i="18"/>
  <x:c r="W82" i="18"/>
  <x:c r="X82" i="18"/>
  <x:c r="Y82" i="18"/>
  <x:c r="Z82" i="18"/>
  <x:c r="AA82" i="18"/>
  <x:c r="AB82" i="18"/>
  <x:c r="AC82" i="18"/>
  <x:c r="W83" i="18"/>
  <x:c r="X83" i="18"/>
  <x:c r="Y83" i="18"/>
  <x:c r="Z83" i="18"/>
  <x:c r="AA83" i="18"/>
  <x:c r="AB83" i="18"/>
  <x:c r="AC83" i="18"/>
  <x:c r="W84" i="18"/>
  <x:c r="X84" i="18"/>
  <x:c r="Y84" i="18"/>
  <x:c r="Z84" i="18"/>
  <x:c r="AA84" i="18"/>
  <x:c r="AB84" i="18"/>
  <x:c r="AC84" i="18"/>
  <x:c r="W85" i="18"/>
  <x:c r="X85" i="18"/>
  <x:c r="Y85" i="18"/>
  <x:c r="Z85" i="18"/>
  <x:c r="AA85" i="18"/>
  <x:c r="AB85" i="18"/>
  <x:c r="AC85" i="18"/>
  <x:c r="W86" i="18"/>
  <x:c r="X86" i="18"/>
  <x:c r="Y86" i="18"/>
  <x:c r="Z86" i="18"/>
  <x:c r="AA86" i="18"/>
  <x:c r="AB86" i="18"/>
  <x:c r="AC86" i="18"/>
  <x:c r="H5" i="19"/>
  <x:c r="I5" i="19"/>
  <x:c r="J5" i="19"/>
  <x:c r="K5" i="19"/>
  <x:c r="H6" i="19"/>
  <x:c r="I6" i="19"/>
  <x:c r="J6" i="19"/>
  <x:c r="K6" i="19"/>
  <x:c r="H7" i="19"/>
  <x:c r="I7" i="19"/>
  <x:c r="J7" i="19"/>
  <x:c r="K7" i="19"/>
  <x:c r="H8" i="19"/>
  <x:c r="I8" i="19"/>
  <x:c r="J8" i="19"/>
  <x:c r="K8" i="19"/>
  <x:c r="H11" i="19"/>
  <x:c r="I11" i="19"/>
  <x:c r="J11" i="19"/>
  <x:c r="K11" i="19"/>
  <x:c r="H12" i="19"/>
  <x:c r="I12" i="19"/>
  <x:c r="J12" i="19"/>
  <x:c r="K12" i="19"/>
  <x:c r="H13" i="19"/>
  <x:c r="I13" i="19"/>
  <x:c r="J13" i="19"/>
  <x:c r="K13" i="19"/>
  <x:c r="H14" i="19"/>
  <x:c r="I14" i="19"/>
  <x:c r="J14" i="19"/>
  <x:c r="K14" i="19"/>
  <x:c r="H17" i="19"/>
  <x:c r="I17" i="19"/>
  <x:c r="J17" i="19"/>
  <x:c r="K17" i="19"/>
  <x:c r="H18" i="19"/>
  <x:c r="I18" i="19"/>
  <x:c r="J18" i="19"/>
  <x:c r="K18" i="19"/>
  <x:c r="R18" i="19"/>
  <x:c r="S18" i="19"/>
  <x:c r="T18" i="19"/>
  <x:c r="W18" i="19"/>
  <x:c r="X18" i="19"/>
  <x:c r="Y18" i="19"/>
  <x:c r="Z18" i="19"/>
  <x:c r="AA18" i="19"/>
  <x:c r="AB18" i="19"/>
  <x:c r="AC18" i="19"/>
  <x:c r="AG18" i="19"/>
  <x:c r="AH18" i="19"/>
  <x:c r="AI18" i="19"/>
  <x:c r="AJ18" i="19"/>
  <x:c r="AK18" i="19"/>
  <x:c r="AL18" i="19"/>
  <x:c r="AM18" i="19"/>
  <x:c r="H19" i="19"/>
  <x:c r="I19" i="19"/>
  <x:c r="J19" i="19"/>
  <x:c r="K19" i="19"/>
  <x:c r="R19" i="19"/>
  <x:c r="S19" i="19"/>
  <x:c r="T19" i="19"/>
  <x:c r="W19" i="19"/>
  <x:c r="X19" i="19"/>
  <x:c r="Y19" i="19"/>
  <x:c r="Z19" i="19"/>
  <x:c r="AA19" i="19"/>
  <x:c r="AB19" i="19"/>
  <x:c r="AC19" i="19"/>
  <x:c r="AG19" i="19"/>
  <x:c r="AH19" i="19"/>
  <x:c r="AI19" i="19"/>
  <x:c r="AJ19" i="19"/>
  <x:c r="AK19" i="19"/>
  <x:c r="AL19" i="19"/>
  <x:c r="AM19" i="19"/>
  <x:c r="H20" i="19"/>
  <x:c r="I20" i="19"/>
  <x:c r="J20" i="19"/>
  <x:c r="K20" i="19"/>
  <x:c r="R20" i="19"/>
  <x:c r="S20" i="19"/>
  <x:c r="T20" i="19"/>
  <x:c r="W20" i="19"/>
  <x:c r="X20" i="19"/>
  <x:c r="Y20" i="19"/>
  <x:c r="Z20" i="19"/>
  <x:c r="AA20" i="19"/>
  <x:c r="AB20" i="19"/>
  <x:c r="AC20" i="19"/>
  <x:c r="AG20" i="19"/>
  <x:c r="AH20" i="19"/>
  <x:c r="AI20" i="19"/>
  <x:c r="AJ20" i="19"/>
  <x:c r="AK20" i="19"/>
  <x:c r="AL20" i="19"/>
  <x:c r="AM20" i="19"/>
  <x:c r="R21" i="19"/>
  <x:c r="S21" i="19"/>
  <x:c r="T21" i="19"/>
  <x:c r="W21" i="19"/>
  <x:c r="X21" i="19"/>
  <x:c r="Y21" i="19"/>
  <x:c r="Z21" i="19"/>
  <x:c r="AA21" i="19"/>
  <x:c r="AB21" i="19"/>
  <x:c r="AC21" i="19"/>
  <x:c r="AG21" i="19"/>
  <x:c r="AH21" i="19"/>
  <x:c r="AI21" i="19"/>
  <x:c r="AJ21" i="19"/>
  <x:c r="AK21" i="19"/>
  <x:c r="AL21" i="19"/>
  <x:c r="AM21" i="19"/>
  <x:c r="Q22" i="19"/>
  <x:c r="R22" i="19"/>
  <x:c r="S22" i="19"/>
  <x:c r="T22" i="19"/>
  <x:c r="W22" i="19"/>
  <x:c r="X22" i="19"/>
  <x:c r="Y22" i="19"/>
  <x:c r="Z22" i="19"/>
  <x:c r="AA22" i="19"/>
  <x:c r="AB22" i="19"/>
  <x:c r="AC22" i="19"/>
  <x:c r="AG22" i="19"/>
  <x:c r="AH22" i="19"/>
  <x:c r="AI22" i="19"/>
  <x:c r="AJ22" i="19"/>
  <x:c r="AK22" i="19"/>
  <x:c r="AL22" i="19"/>
  <x:c r="AM22" i="19"/>
  <x:c r="H23" i="19"/>
  <x:c r="J23" i="19"/>
  <x:c r="R23" i="19"/>
  <x:c r="S23" i="19"/>
  <x:c r="T23" i="19"/>
  <x:c r="W23" i="19"/>
  <x:c r="X23" i="19"/>
  <x:c r="Y23" i="19"/>
  <x:c r="Z23" i="19"/>
  <x:c r="AA23" i="19"/>
  <x:c r="AB23" i="19"/>
  <x:c r="AC23" i="19"/>
  <x:c r="AG23" i="19"/>
  <x:c r="AH23" i="19"/>
  <x:c r="AI23" i="19"/>
  <x:c r="AJ23" i="19"/>
  <x:c r="AK23" i="19"/>
  <x:c r="AL23" i="19"/>
  <x:c r="AM23" i="19"/>
  <x:c r="H24" i="19"/>
  <x:c r="R24" i="19"/>
  <x:c r="S24" i="19"/>
  <x:c r="T24" i="19"/>
  <x:c r="W24" i="19"/>
  <x:c r="X24" i="19"/>
  <x:c r="Y24" i="19"/>
  <x:c r="Z24" i="19"/>
  <x:c r="AA24" i="19"/>
  <x:c r="AB24" i="19"/>
  <x:c r="AC24" i="19"/>
  <x:c r="AG24" i="19"/>
  <x:c r="AH24" i="19"/>
  <x:c r="AI24" i="19"/>
  <x:c r="AJ24" i="19"/>
  <x:c r="AK24" i="19"/>
  <x:c r="AL24" i="19"/>
  <x:c r="AM24" i="19"/>
  <x:c r="R25" i="19"/>
  <x:c r="S25" i="19"/>
  <x:c r="T25" i="19"/>
  <x:c r="W25" i="19"/>
  <x:c r="X25" i="19"/>
  <x:c r="Y25" i="19"/>
  <x:c r="Z25" i="19"/>
  <x:c r="AA25" i="19"/>
  <x:c r="AB25" i="19"/>
  <x:c r="AC25" i="19"/>
  <x:c r="AG25" i="19"/>
  <x:c r="AH25" i="19"/>
  <x:c r="AI25" i="19"/>
  <x:c r="AJ25" i="19"/>
  <x:c r="AK25" i="19"/>
  <x:c r="AL25" i="19"/>
  <x:c r="AM25" i="19"/>
  <x:c r="R26" i="19"/>
  <x:c r="S26" i="19"/>
  <x:c r="T26" i="19"/>
  <x:c r="W26" i="19"/>
  <x:c r="X26" i="19"/>
  <x:c r="Y26" i="19"/>
  <x:c r="Z26" i="19"/>
  <x:c r="AA26" i="19"/>
  <x:c r="AB26" i="19"/>
  <x:c r="AC26" i="19"/>
  <x:c r="AG26" i="19"/>
  <x:c r="AH26" i="19"/>
  <x:c r="AI26" i="19"/>
  <x:c r="AJ26" i="19"/>
  <x:c r="AK26" i="19"/>
  <x:c r="AL26" i="19"/>
  <x:c r="AM26" i="19"/>
  <x:c r="H27" i="19"/>
  <x:c r="J27" i="19"/>
  <x:c r="R28" i="19"/>
  <x:c r="S28" i="19"/>
  <x:c r="T28" i="19"/>
  <x:c r="W28" i="19"/>
  <x:c r="X28" i="19"/>
  <x:c r="Y28" i="19"/>
  <x:c r="Z28" i="19"/>
  <x:c r="AA28" i="19"/>
  <x:c r="AB28" i="19"/>
  <x:c r="AC28" i="19"/>
  <x:c r="AG28" i="19"/>
  <x:c r="AH28" i="19"/>
  <x:c r="AI28" i="19"/>
  <x:c r="AJ28" i="19"/>
  <x:c r="AK28" i="19"/>
  <x:c r="AL28" i="19"/>
  <x:c r="AM28" i="19"/>
  <x:c r="R29" i="19"/>
  <x:c r="S29" i="19"/>
  <x:c r="T29" i="19"/>
  <x:c r="W29" i="19"/>
  <x:c r="X29" i="19"/>
  <x:c r="Y29" i="19"/>
  <x:c r="Z29" i="19"/>
  <x:c r="AA29" i="19"/>
  <x:c r="AB29" i="19"/>
  <x:c r="AC29" i="19"/>
  <x:c r="AG29" i="19"/>
  <x:c r="AH29" i="19"/>
  <x:c r="AI29" i="19"/>
  <x:c r="AJ29" i="19"/>
  <x:c r="AK29" i="19"/>
  <x:c r="AL29" i="19"/>
  <x:c r="AM29" i="19"/>
  <x:c r="H30" i="19"/>
  <x:c r="J30" i="19"/>
  <x:c r="S30" i="19"/>
  <x:c r="T30" i="19"/>
  <x:c r="W30" i="19"/>
  <x:c r="X30" i="19"/>
  <x:c r="Y30" i="19"/>
  <x:c r="Z30" i="19"/>
  <x:c r="AA30" i="19"/>
  <x:c r="AB30" i="19"/>
  <x:c r="AC30" i="19"/>
  <x:c r="AG30" i="19"/>
  <x:c r="AH30" i="19"/>
  <x:c r="AI30" i="19"/>
  <x:c r="AJ30" i="19"/>
  <x:c r="AK30" i="19"/>
  <x:c r="AL30" i="19"/>
  <x:c r="AM30" i="19"/>
  <x:c r="R31" i="19"/>
  <x:c r="S31" i="19"/>
  <x:c r="T31" i="19"/>
  <x:c r="W31" i="19"/>
  <x:c r="X31" i="19"/>
  <x:c r="Y31" i="19"/>
  <x:c r="Z31" i="19"/>
  <x:c r="AA31" i="19"/>
  <x:c r="AB31" i="19"/>
  <x:c r="AC31" i="19"/>
  <x:c r="AG31" i="19"/>
  <x:c r="AH31" i="19"/>
  <x:c r="AI31" i="19"/>
  <x:c r="AJ31" i="19"/>
  <x:c r="AK31" i="19"/>
  <x:c r="AL31" i="19"/>
  <x:c r="AM31" i="19"/>
  <x:c r="R32" i="19"/>
  <x:c r="S32" i="19"/>
  <x:c r="T32" i="19"/>
  <x:c r="W32" i="19"/>
  <x:c r="X32" i="19"/>
  <x:c r="Y32" i="19"/>
  <x:c r="Z32" i="19"/>
  <x:c r="AA32" i="19"/>
  <x:c r="AB32" i="19"/>
  <x:c r="AC32" i="19"/>
  <x:c r="AG32" i="19"/>
  <x:c r="AH32" i="19"/>
  <x:c r="AI32" i="19"/>
  <x:c r="AJ32" i="19"/>
  <x:c r="AK32" i="19"/>
  <x:c r="AL32" i="19"/>
  <x:c r="AM32" i="19"/>
  <x:c r="H33" i="19"/>
  <x:c r="R33" i="19"/>
  <x:c r="S33" i="19"/>
  <x:c r="T33" i="19"/>
  <x:c r="W33" i="19"/>
  <x:c r="X33" i="19"/>
  <x:c r="Y33" i="19"/>
  <x:c r="Z33" i="19"/>
  <x:c r="AA33" i="19"/>
  <x:c r="AB33" i="19"/>
  <x:c r="AC33" i="19"/>
  <x:c r="AG33" i="19"/>
  <x:c r="AH33" i="19"/>
  <x:c r="AI33" i="19"/>
  <x:c r="AJ33" i="19"/>
  <x:c r="AK33" i="19"/>
  <x:c r="AL33" i="19"/>
  <x:c r="AM33" i="19"/>
  <x:c r="R34" i="19"/>
  <x:c r="S34" i="19"/>
  <x:c r="T34" i="19"/>
  <x:c r="W34" i="19"/>
  <x:c r="X34" i="19"/>
  <x:c r="Y34" i="19"/>
  <x:c r="Z34" i="19"/>
  <x:c r="AA34" i="19"/>
  <x:c r="AB34" i="19"/>
  <x:c r="AC34" i="19"/>
  <x:c r="AG34" i="19"/>
  <x:c r="AH34" i="19"/>
  <x:c r="AI34" i="19"/>
  <x:c r="AJ34" i="19"/>
  <x:c r="AK34" i="19"/>
  <x:c r="AL34" i="19"/>
  <x:c r="AM34" i="19"/>
  <x:c r="R35" i="19"/>
  <x:c r="S35" i="19"/>
  <x:c r="T35" i="19"/>
  <x:c r="W35" i="19"/>
  <x:c r="X35" i="19"/>
  <x:c r="Y35" i="19"/>
  <x:c r="Z35" i="19"/>
  <x:c r="AA35" i="19"/>
  <x:c r="AB35" i="19"/>
  <x:c r="AC35" i="19"/>
  <x:c r="AG35" i="19"/>
  <x:c r="AH35" i="19"/>
  <x:c r="AI35" i="19"/>
  <x:c r="AJ35" i="19"/>
  <x:c r="AK35" i="19"/>
  <x:c r="AL35" i="19"/>
  <x:c r="AM35" i="19"/>
  <x:c r="H36" i="19"/>
  <x:c r="I36" i="19"/>
  <x:c r="J36" i="19"/>
  <x:c r="K36" i="19"/>
  <x:c r="R36" i="19"/>
  <x:c r="S36" i="19"/>
  <x:c r="T36" i="19"/>
  <x:c r="W36" i="19"/>
  <x:c r="X36" i="19"/>
  <x:c r="Y36" i="19"/>
  <x:c r="Z36" i="19"/>
  <x:c r="AA36" i="19"/>
  <x:c r="AB36" i="19"/>
  <x:c r="AC36" i="19"/>
  <x:c r="AG36" i="19"/>
  <x:c r="AH36" i="19"/>
  <x:c r="AI36" i="19"/>
  <x:c r="AJ36" i="19"/>
  <x:c r="AK36" i="19"/>
  <x:c r="AL36" i="19"/>
  <x:c r="AM36" i="19"/>
  <x:c r="H37" i="19"/>
  <x:c r="I37" i="19"/>
  <x:c r="J37" i="19"/>
  <x:c r="K37" i="19"/>
  <x:c r="H38" i="19"/>
  <x:c r="I38" i="19"/>
  <x:c r="J38" i="19"/>
  <x:c r="K38" i="19"/>
  <x:c r="S38" i="19"/>
  <x:c r="T38" i="19"/>
  <x:c r="U38" i="19"/>
  <x:c r="W38" i="19"/>
  <x:c r="X38" i="19"/>
  <x:c r="Y38" i="19"/>
  <x:c r="Z38" i="19"/>
  <x:c r="AA38" i="19"/>
  <x:c r="AB38" i="19"/>
  <x:c r="AC38" i="19"/>
  <x:c r="H39" i="19"/>
  <x:c r="I39" i="19"/>
  <x:c r="J39" i="19"/>
  <x:c r="K39" i="19"/>
  <x:c r="W39" i="19"/>
  <x:c r="X39" i="19"/>
  <x:c r="Y39" i="19"/>
  <x:c r="Z39" i="19"/>
  <x:c r="AA39" i="19"/>
  <x:c r="AB39" i="19"/>
  <x:c r="AC39" i="19"/>
  <x:c r="H40" i="19"/>
  <x:c r="I40" i="19"/>
  <x:c r="J40" i="19"/>
  <x:c r="K40" i="19"/>
  <x:c r="W40" i="19"/>
  <x:c r="X40" i="19"/>
  <x:c r="Y40" i="19"/>
  <x:c r="Z40" i="19"/>
  <x:c r="AA40" i="19"/>
  <x:c r="AB40" i="19"/>
  <x:c r="AC40" i="19"/>
  <x:c r="H41" i="19"/>
  <x:c r="I41" i="19"/>
  <x:c r="J41" i="19"/>
  <x:c r="K41" i="19"/>
  <x:c r="W41" i="19"/>
  <x:c r="X41" i="19"/>
  <x:c r="Y41" i="19"/>
  <x:c r="Z41" i="19"/>
  <x:c r="AA41" i="19"/>
  <x:c r="AB41" i="19"/>
  <x:c r="AC41" i="19"/>
  <x:c r="H42" i="19"/>
  <x:c r="I42" i="19"/>
  <x:c r="J42" i="19"/>
  <x:c r="K42" i="19"/>
  <x:c r="W42" i="19"/>
  <x:c r="X42" i="19"/>
  <x:c r="Y42" i="19"/>
  <x:c r="Z42" i="19"/>
  <x:c r="AA42" i="19"/>
  <x:c r="AB42" i="19"/>
  <x:c r="AC42" i="19"/>
  <x:c r="H43" i="19"/>
  <x:c r="I43" i="19"/>
  <x:c r="J43" i="19"/>
  <x:c r="K43" i="19"/>
  <x:c r="H44" i="19"/>
  <x:c r="I44" i="19"/>
  <x:c r="J44" i="19"/>
  <x:c r="K44" i="19"/>
  <x:c r="H45" i="19"/>
  <x:c r="I45" i="19"/>
  <x:c r="J45" i="19"/>
  <x:c r="K45" i="19"/>
  <x:c r="H46" i="19"/>
  <x:c r="I46" i="19"/>
  <x:c r="J46" i="19"/>
  <x:c r="K46" i="19"/>
  <x:c r="H47" i="19"/>
  <x:c r="I47" i="19"/>
  <x:c r="J47" i="19"/>
  <x:c r="K47" i="19"/>
  <x:c r="H48" i="19"/>
  <x:c r="I48" i="19"/>
  <x:c r="J48" i="19"/>
  <x:c r="K48" i="19"/>
  <x:c r="H49" i="19"/>
  <x:c r="I49" i="19"/>
  <x:c r="J49" i="19"/>
  <x:c r="K49" i="19"/>
  <x:c r="H50" i="19"/>
  <x:c r="I50" i="19"/>
  <x:c r="J50" i="19"/>
  <x:c r="K50" i="19"/>
  <x:c r="H53" i="19"/>
  <x:c r="I53" i="19"/>
  <x:c r="J53" i="19"/>
  <x:c r="K53" i="19"/>
  <x:c r="H54" i="19"/>
  <x:c r="I54" i="19"/>
  <x:c r="J54" i="19"/>
  <x:c r="K54" i="19"/>
  <x:c r="H55" i="19"/>
  <x:c r="I55" i="19"/>
  <x:c r="J55" i="19"/>
  <x:c r="K55" i="19"/>
  <x:c r="H56" i="19"/>
  <x:c r="I56" i="19"/>
  <x:c r="J56" i="19"/>
  <x:c r="K56" i="19"/>
  <x:c r="H57" i="19"/>
  <x:c r="I57" i="19"/>
  <x:c r="J57" i="19"/>
  <x:c r="K57" i="19"/>
  <x:c r="H58" i="19"/>
  <x:c r="I58" i="19"/>
  <x:c r="J58" i="19"/>
  <x:c r="K58" i="19"/>
  <x:c r="H59" i="19"/>
  <x:c r="I59" i="19"/>
  <x:c r="J59" i="19"/>
  <x:c r="K59" i="19"/>
  <x:c r="H60" i="19"/>
  <x:c r="I60" i="19"/>
  <x:c r="J60" i="19"/>
  <x:c r="K60" i="19"/>
  <x:c r="H61" i="19"/>
  <x:c r="I61" i="19"/>
  <x:c r="J61" i="19"/>
  <x:c r="K61" i="19"/>
  <x:c r="H62" i="19"/>
  <x:c r="I62" i="19"/>
  <x:c r="J62" i="19"/>
  <x:c r="K62" i="19"/>
  <x:c r="R62" i="19"/>
  <x:c r="S62" i="19"/>
  <x:c r="T62" i="19"/>
  <x:c r="W62" i="19"/>
  <x:c r="X62" i="19"/>
  <x:c r="Y62" i="19"/>
  <x:c r="Z62" i="19"/>
  <x:c r="AA62" i="19"/>
  <x:c r="AB62" i="19"/>
  <x:c r="AC62" i="19"/>
  <x:c r="AG62" i="19"/>
  <x:c r="AH62" i="19"/>
  <x:c r="AI62" i="19"/>
  <x:c r="AJ62" i="19"/>
  <x:c r="AK62" i="19"/>
  <x:c r="AL62" i="19"/>
  <x:c r="AM62" i="19"/>
  <x:c r="H63" i="19"/>
  <x:c r="I63" i="19"/>
  <x:c r="J63" i="19"/>
  <x:c r="K63" i="19"/>
  <x:c r="R63" i="19"/>
  <x:c r="S63" i="19"/>
  <x:c r="T63" i="19"/>
  <x:c r="W63" i="19"/>
  <x:c r="X63" i="19"/>
  <x:c r="Y63" i="19"/>
  <x:c r="Z63" i="19"/>
  <x:c r="AA63" i="19"/>
  <x:c r="AB63" i="19"/>
  <x:c r="AC63" i="19"/>
  <x:c r="AG63" i="19"/>
  <x:c r="AH63" i="19"/>
  <x:c r="AI63" i="19"/>
  <x:c r="AJ63" i="19"/>
  <x:c r="AK63" i="19"/>
  <x:c r="AL63" i="19"/>
  <x:c r="AM63" i="19"/>
  <x:c r="H64" i="19"/>
  <x:c r="I64" i="19"/>
  <x:c r="J64" i="19"/>
  <x:c r="K64" i="19"/>
  <x:c r="R64" i="19"/>
  <x:c r="S64" i="19"/>
  <x:c r="T64" i="19"/>
  <x:c r="W64" i="19"/>
  <x:c r="X64" i="19"/>
  <x:c r="Y64" i="19"/>
  <x:c r="Z64" i="19"/>
  <x:c r="AA64" i="19"/>
  <x:c r="AB64" i="19"/>
  <x:c r="AC64" i="19"/>
  <x:c r="AG64" i="19"/>
  <x:c r="AH64" i="19"/>
  <x:c r="AI64" i="19"/>
  <x:c r="AJ64" i="19"/>
  <x:c r="AK64" i="19"/>
  <x:c r="AL64" i="19"/>
  <x:c r="AM64" i="19"/>
  <x:c r="H65" i="19"/>
  <x:c r="I65" i="19"/>
  <x:c r="J65" i="19"/>
  <x:c r="K65" i="19"/>
  <x:c r="R65" i="19"/>
  <x:c r="S65" i="19"/>
  <x:c r="T65" i="19"/>
  <x:c r="W65" i="19"/>
  <x:c r="X65" i="19"/>
  <x:c r="Y65" i="19"/>
  <x:c r="Z65" i="19"/>
  <x:c r="AA65" i="19"/>
  <x:c r="AB65" i="19"/>
  <x:c r="AC65" i="19"/>
  <x:c r="AG65" i="19"/>
  <x:c r="AH65" i="19"/>
  <x:c r="AI65" i="19"/>
  <x:c r="AJ65" i="19"/>
  <x:c r="AK65" i="19"/>
  <x:c r="AL65" i="19"/>
  <x:c r="AM65" i="19"/>
  <x:c r="H66" i="19"/>
  <x:c r="I66" i="19"/>
  <x:c r="J66" i="19"/>
  <x:c r="K66" i="19"/>
  <x:c r="Q66" i="19"/>
  <x:c r="R66" i="19"/>
  <x:c r="S66" i="19"/>
  <x:c r="T66" i="19"/>
  <x:c r="W66" i="19"/>
  <x:c r="X66" i="19"/>
  <x:c r="Y66" i="19"/>
  <x:c r="Z66" i="19"/>
  <x:c r="AA66" i="19"/>
  <x:c r="AB66" i="19"/>
  <x:c r="AC66" i="19"/>
  <x:c r="AG66" i="19"/>
  <x:c r="AH66" i="19"/>
  <x:c r="AI66" i="19"/>
  <x:c r="AJ66" i="19"/>
  <x:c r="AK66" i="19"/>
  <x:c r="AL66" i="19"/>
  <x:c r="AM66" i="19"/>
  <x:c r="H67" i="19"/>
  <x:c r="I67" i="19"/>
  <x:c r="J67" i="19"/>
  <x:c r="K67" i="19"/>
  <x:c r="R67" i="19"/>
  <x:c r="S67" i="19"/>
  <x:c r="T67" i="19"/>
  <x:c r="W67" i="19"/>
  <x:c r="X67" i="19"/>
  <x:c r="Y67" i="19"/>
  <x:c r="Z67" i="19"/>
  <x:c r="AA67" i="19"/>
  <x:c r="AB67" i="19"/>
  <x:c r="AC67" i="19"/>
  <x:c r="AG67" i="19"/>
  <x:c r="AH67" i="19"/>
  <x:c r="AI67" i="19"/>
  <x:c r="AJ67" i="19"/>
  <x:c r="AK67" i="19"/>
  <x:c r="AL67" i="19"/>
  <x:c r="AM67" i="19"/>
  <x:c r="R68" i="19"/>
  <x:c r="S68" i="19"/>
  <x:c r="T68" i="19"/>
  <x:c r="W68" i="19"/>
  <x:c r="X68" i="19"/>
  <x:c r="Y68" i="19"/>
  <x:c r="Z68" i="19"/>
  <x:c r="AA68" i="19"/>
  <x:c r="AB68" i="19"/>
  <x:c r="AC68" i="19"/>
  <x:c r="AG68" i="19"/>
  <x:c r="AH68" i="19"/>
  <x:c r="AI68" i="19"/>
  <x:c r="AJ68" i="19"/>
  <x:c r="AK68" i="19"/>
  <x:c r="AL68" i="19"/>
  <x:c r="AM68" i="19"/>
  <x:c r="R69" i="19"/>
  <x:c r="S69" i="19"/>
  <x:c r="T69" i="19"/>
  <x:c r="W69" i="19"/>
  <x:c r="X69" i="19"/>
  <x:c r="Y69" i="19"/>
  <x:c r="Z69" i="19"/>
  <x:c r="AA69" i="19"/>
  <x:c r="AB69" i="19"/>
  <x:c r="AC69" i="19"/>
  <x:c r="AG69" i="19"/>
  <x:c r="AH69" i="19"/>
  <x:c r="AI69" i="19"/>
  <x:c r="AJ69" i="19"/>
  <x:c r="AK69" i="19"/>
  <x:c r="AL69" i="19"/>
  <x:c r="AM69" i="19"/>
  <x:c r="H70" i="19"/>
  <x:c r="J70" i="19"/>
  <x:c r="R70" i="19"/>
  <x:c r="S70" i="19"/>
  <x:c r="T70" i="19"/>
  <x:c r="W70" i="19"/>
  <x:c r="X70" i="19"/>
  <x:c r="Y70" i="19"/>
  <x:c r="Z70" i="19"/>
  <x:c r="AA70" i="19"/>
  <x:c r="AB70" i="19"/>
  <x:c r="AC70" i="19"/>
  <x:c r="AG70" i="19"/>
  <x:c r="AH70" i="19"/>
  <x:c r="AI70" i="19"/>
  <x:c r="AJ70" i="19"/>
  <x:c r="AK70" i="19"/>
  <x:c r="AL70" i="19"/>
  <x:c r="AM70" i="19"/>
  <x:c r="R72" i="19"/>
  <x:c r="S72" i="19"/>
  <x:c r="T72" i="19"/>
  <x:c r="W72" i="19"/>
  <x:c r="X72" i="19"/>
  <x:c r="Y72" i="19"/>
  <x:c r="Z72" i="19"/>
  <x:c r="AA72" i="19"/>
  <x:c r="AB72" i="19"/>
  <x:c r="AC72" i="19"/>
  <x:c r="AG72" i="19"/>
  <x:c r="AH72" i="19"/>
  <x:c r="AI72" i="19"/>
  <x:c r="AJ72" i="19"/>
  <x:c r="AK72" i="19"/>
  <x:c r="AL72" i="19"/>
  <x:c r="AM72" i="19"/>
  <x:c r="H73" i="19"/>
  <x:c r="J73" i="19"/>
  <x:c r="R73" i="19"/>
  <x:c r="S73" i="19"/>
  <x:c r="T73" i="19"/>
  <x:c r="W73" i="19"/>
  <x:c r="X73" i="19"/>
  <x:c r="Y73" i="19"/>
  <x:c r="Z73" i="19"/>
  <x:c r="AA73" i="19"/>
  <x:c r="AB73" i="19"/>
  <x:c r="AC73" i="19"/>
  <x:c r="AG73" i="19"/>
  <x:c r="AH73" i="19"/>
  <x:c r="AI73" i="19"/>
  <x:c r="AJ73" i="19"/>
  <x:c r="AK73" i="19"/>
  <x:c r="AL73" i="19"/>
  <x:c r="AM73" i="19"/>
  <x:c r="H74" i="19"/>
  <x:c r="J74" i="19"/>
  <x:c r="S74" i="19"/>
  <x:c r="T74" i="19"/>
  <x:c r="W74" i="19"/>
  <x:c r="X74" i="19"/>
  <x:c r="Y74" i="19"/>
  <x:c r="Z74" i="19"/>
  <x:c r="AA74" i="19"/>
  <x:c r="AB74" i="19"/>
  <x:c r="AC74" i="19"/>
  <x:c r="AG74" i="19"/>
  <x:c r="AH74" i="19"/>
  <x:c r="AI74" i="19"/>
  <x:c r="AJ74" i="19"/>
  <x:c r="AK74" i="19"/>
  <x:c r="AL74" i="19"/>
  <x:c r="AM74" i="19"/>
  <x:c r="H75" i="19"/>
  <x:c r="J75" i="19"/>
  <x:c r="R75" i="19"/>
  <x:c r="S75" i="19"/>
  <x:c r="T75" i="19"/>
  <x:c r="W75" i="19"/>
  <x:c r="X75" i="19"/>
  <x:c r="Y75" i="19"/>
  <x:c r="Z75" i="19"/>
  <x:c r="AA75" i="19"/>
  <x:c r="AB75" i="19"/>
  <x:c r="AC75" i="19"/>
  <x:c r="AG75" i="19"/>
  <x:c r="AH75" i="19"/>
  <x:c r="AI75" i="19"/>
  <x:c r="AJ75" i="19"/>
  <x:c r="AK75" i="19"/>
  <x:c r="AL75" i="19"/>
  <x:c r="AM75" i="19"/>
  <x:c r="R76" i="19"/>
  <x:c r="S76" i="19"/>
  <x:c r="T76" i="19"/>
  <x:c r="W76" i="19"/>
  <x:c r="X76" i="19"/>
  <x:c r="Y76" i="19"/>
  <x:c r="Z76" i="19"/>
  <x:c r="AA76" i="19"/>
  <x:c r="AB76" i="19"/>
  <x:c r="AC76" i="19"/>
  <x:c r="AG76" i="19"/>
  <x:c r="AH76" i="19"/>
  <x:c r="AI76" i="19"/>
  <x:c r="AJ76" i="19"/>
  <x:c r="AK76" i="19"/>
  <x:c r="AL76" i="19"/>
  <x:c r="AM76" i="19"/>
  <x:c r="D77" i="19"/>
  <x:c r="R77" i="19"/>
  <x:c r="S77" i="19"/>
  <x:c r="T77" i="19"/>
  <x:c r="W77" i="19"/>
  <x:c r="X77" i="19"/>
  <x:c r="Y77" i="19"/>
  <x:c r="Z77" i="19"/>
  <x:c r="AA77" i="19"/>
  <x:c r="AB77" i="19"/>
  <x:c r="AC77" i="19"/>
  <x:c r="AG77" i="19"/>
  <x:c r="AH77" i="19"/>
  <x:c r="AI77" i="19"/>
  <x:c r="AJ77" i="19"/>
  <x:c r="AK77" i="19"/>
  <x:c r="AL77" i="19"/>
  <x:c r="AM77" i="19"/>
  <x:c r="R78" i="19"/>
  <x:c r="S78" i="19"/>
  <x:c r="T78" i="19"/>
  <x:c r="W78" i="19"/>
  <x:c r="X78" i="19"/>
  <x:c r="Y78" i="19"/>
  <x:c r="Z78" i="19"/>
  <x:c r="AA78" i="19"/>
  <x:c r="AB78" i="19"/>
  <x:c r="AC78" i="19"/>
  <x:c r="AG78" i="19"/>
  <x:c r="AH78" i="19"/>
  <x:c r="AI78" i="19"/>
  <x:c r="AJ78" i="19"/>
  <x:c r="AK78" i="19"/>
  <x:c r="AL78" i="19"/>
  <x:c r="AM78" i="19"/>
  <x:c r="R79" i="19"/>
  <x:c r="S79" i="19"/>
  <x:c r="T79" i="19"/>
  <x:c r="W79" i="19"/>
  <x:c r="X79" i="19"/>
  <x:c r="Y79" i="19"/>
  <x:c r="Z79" i="19"/>
  <x:c r="AA79" i="19"/>
  <x:c r="AB79" i="19"/>
  <x:c r="AC79" i="19"/>
  <x:c r="AG79" i="19"/>
  <x:c r="AH79" i="19"/>
  <x:c r="AI79" i="19"/>
  <x:c r="AJ79" i="19"/>
  <x:c r="AK79" i="19"/>
  <x:c r="AL79" i="19"/>
  <x:c r="AM79" i="19"/>
  <x:c r="R80" i="19"/>
  <x:c r="S80" i="19"/>
  <x:c r="T80" i="19"/>
  <x:c r="W80" i="19"/>
  <x:c r="X80" i="19"/>
  <x:c r="Y80" i="19"/>
  <x:c r="Z80" i="19"/>
  <x:c r="AA80" i="19"/>
  <x:c r="AB80" i="19"/>
  <x:c r="AC80" i="19"/>
  <x:c r="AG80" i="19"/>
  <x:c r="AH80" i="19"/>
  <x:c r="AI80" i="19"/>
  <x:c r="AJ80" i="19"/>
  <x:c r="AK80" i="19"/>
  <x:c r="AL80" i="19"/>
  <x:c r="AM80" i="19"/>
  <x:c r="S82" i="19"/>
  <x:c r="T82" i="19"/>
  <x:c r="U82" i="19"/>
  <x:c r="W82" i="19"/>
  <x:c r="X82" i="19"/>
  <x:c r="Y82" i="19"/>
  <x:c r="Z82" i="19"/>
  <x:c r="AA82" i="19"/>
  <x:c r="AB82" i="19"/>
  <x:c r="AC82" i="19"/>
  <x:c r="W83" i="19"/>
  <x:c r="X83" i="19"/>
  <x:c r="Y83" i="19"/>
  <x:c r="Z83" i="19"/>
  <x:c r="AA83" i="19"/>
  <x:c r="AB83" i="19"/>
  <x:c r="AC83" i="19"/>
  <x:c r="W84" i="19"/>
  <x:c r="X84" i="19"/>
  <x:c r="Y84" i="19"/>
  <x:c r="Z84" i="19"/>
  <x:c r="AA84" i="19"/>
  <x:c r="AB84" i="19"/>
  <x:c r="AC84" i="19"/>
  <x:c r="W85" i="19"/>
  <x:c r="X85" i="19"/>
  <x:c r="Y85" i="19"/>
  <x:c r="Z85" i="19"/>
  <x:c r="AA85" i="19"/>
  <x:c r="AB85" i="19"/>
  <x:c r="AC85" i="19"/>
  <x:c r="W86" i="19"/>
  <x:c r="X86" i="19"/>
  <x:c r="Y86" i="19"/>
  <x:c r="Z86" i="19"/>
  <x:c r="AA86" i="19"/>
  <x:c r="AB86" i="19"/>
  <x:c r="AC86" i="19"/>
  <x:c r="H5" i="20"/>
  <x:c r="I5" i="20"/>
  <x:c r="J5" i="20"/>
  <x:c r="K5" i="20"/>
  <x:c r="H6" i="20"/>
  <x:c r="I6" i="20"/>
  <x:c r="J6" i="20"/>
  <x:c r="K6" i="20"/>
  <x:c r="H7" i="20"/>
  <x:c r="I7" i="20"/>
  <x:c r="J7" i="20"/>
  <x:c r="K7" i="20"/>
  <x:c r="H8" i="20"/>
  <x:c r="I8" i="20"/>
  <x:c r="J8" i="20"/>
  <x:c r="K8" i="20"/>
  <x:c r="H11" i="20"/>
  <x:c r="I11" i="20"/>
  <x:c r="J11" i="20"/>
  <x:c r="K11" i="20"/>
  <x:c r="H12" i="20"/>
  <x:c r="I12" i="20"/>
  <x:c r="J12" i="20"/>
  <x:c r="K12" i="20"/>
  <x:c r="H13" i="20"/>
  <x:c r="I13" i="20"/>
  <x:c r="J13" i="20"/>
  <x:c r="K13" i="20"/>
  <x:c r="H14" i="20"/>
  <x:c r="I14" i="20"/>
  <x:c r="J14" i="20"/>
  <x:c r="K14" i="20"/>
  <x:c r="H17" i="20"/>
  <x:c r="I17" i="20"/>
  <x:c r="J17" i="20"/>
  <x:c r="K17" i="20"/>
  <x:c r="H18" i="20"/>
  <x:c r="I18" i="20"/>
  <x:c r="J18" i="20"/>
  <x:c r="K18" i="20"/>
  <x:c r="R18" i="20"/>
  <x:c r="S18" i="20"/>
  <x:c r="T18" i="20"/>
  <x:c r="W18" i="20"/>
  <x:c r="X18" i="20"/>
  <x:c r="Y18" i="20"/>
  <x:c r="Z18" i="20"/>
  <x:c r="AA18" i="20"/>
  <x:c r="AB18" i="20"/>
  <x:c r="AC18" i="20"/>
  <x:c r="AG18" i="20"/>
  <x:c r="AH18" i="20"/>
  <x:c r="AI18" i="20"/>
  <x:c r="AJ18" i="20"/>
  <x:c r="AK18" i="20"/>
  <x:c r="AL18" i="20"/>
  <x:c r="AM18" i="20"/>
  <x:c r="H19" i="20"/>
  <x:c r="I19" i="20"/>
  <x:c r="J19" i="20"/>
  <x:c r="K19" i="20"/>
  <x:c r="R19" i="20"/>
  <x:c r="S19" i="20"/>
  <x:c r="T19" i="20"/>
  <x:c r="W19" i="20"/>
  <x:c r="X19" i="20"/>
  <x:c r="Y19" i="20"/>
  <x:c r="Z19" i="20"/>
  <x:c r="AA19" i="20"/>
  <x:c r="AB19" i="20"/>
  <x:c r="AC19" i="20"/>
  <x:c r="AG19" i="20"/>
  <x:c r="AH19" i="20"/>
  <x:c r="AI19" i="20"/>
  <x:c r="AJ19" i="20"/>
  <x:c r="AK19" i="20"/>
  <x:c r="AL19" i="20"/>
  <x:c r="AM19" i="20"/>
  <x:c r="H20" i="20"/>
  <x:c r="I20" i="20"/>
  <x:c r="J20" i="20"/>
  <x:c r="K20" i="20"/>
  <x:c r="R20" i="20"/>
  <x:c r="S20" i="20"/>
  <x:c r="T20" i="20"/>
  <x:c r="W20" i="20"/>
  <x:c r="X20" i="20"/>
  <x:c r="Y20" i="20"/>
  <x:c r="Z20" i="20"/>
  <x:c r="AA20" i="20"/>
  <x:c r="AB20" i="20"/>
  <x:c r="AC20" i="20"/>
  <x:c r="AG20" i="20"/>
  <x:c r="AH20" i="20"/>
  <x:c r="AI20" i="20"/>
  <x:c r="AJ20" i="20"/>
  <x:c r="AK20" i="20"/>
  <x:c r="AL20" i="20"/>
  <x:c r="AM20" i="20"/>
  <x:c r="R21" i="20"/>
  <x:c r="S21" i="20"/>
  <x:c r="T21" i="20"/>
  <x:c r="W21" i="20"/>
  <x:c r="X21" i="20"/>
  <x:c r="Y21" i="20"/>
  <x:c r="Z21" i="20"/>
  <x:c r="AA21" i="20"/>
  <x:c r="AB21" i="20"/>
  <x:c r="AC21" i="20"/>
  <x:c r="AG21" i="20"/>
  <x:c r="AH21" i="20"/>
  <x:c r="AI21" i="20"/>
  <x:c r="AJ21" i="20"/>
  <x:c r="AK21" i="20"/>
  <x:c r="AL21" i="20"/>
  <x:c r="AM21" i="20"/>
  <x:c r="Q22" i="20"/>
  <x:c r="R22" i="20"/>
  <x:c r="S22" i="20"/>
  <x:c r="T22" i="20"/>
  <x:c r="W22" i="20"/>
  <x:c r="X22" i="20"/>
  <x:c r="Y22" i="20"/>
  <x:c r="Z22" i="20"/>
  <x:c r="AA22" i="20"/>
  <x:c r="AB22" i="20"/>
  <x:c r="AC22" i="20"/>
  <x:c r="AG22" i="20"/>
  <x:c r="AH22" i="20"/>
  <x:c r="AI22" i="20"/>
  <x:c r="AJ22" i="20"/>
  <x:c r="AK22" i="20"/>
  <x:c r="AL22" i="20"/>
  <x:c r="AM22" i="20"/>
  <x:c r="H23" i="20"/>
  <x:c r="J23" i="20"/>
  <x:c r="R23" i="20"/>
  <x:c r="S23" i="20"/>
  <x:c r="T23" i="20"/>
  <x:c r="W23" i="20"/>
  <x:c r="X23" i="20"/>
  <x:c r="Y23" i="20"/>
  <x:c r="Z23" i="20"/>
  <x:c r="AA23" i="20"/>
  <x:c r="AB23" i="20"/>
  <x:c r="AC23" i="20"/>
  <x:c r="AG23" i="20"/>
  <x:c r="AH23" i="20"/>
  <x:c r="AI23" i="20"/>
  <x:c r="AJ23" i="20"/>
  <x:c r="AK23" i="20"/>
  <x:c r="AL23" i="20"/>
  <x:c r="AM23" i="20"/>
  <x:c r="H24" i="20"/>
  <x:c r="R24" i="20"/>
  <x:c r="S24" i="20"/>
  <x:c r="T24" i="20"/>
  <x:c r="W24" i="20"/>
  <x:c r="X24" i="20"/>
  <x:c r="Y24" i="20"/>
  <x:c r="Z24" i="20"/>
  <x:c r="AA24" i="20"/>
  <x:c r="AB24" i="20"/>
  <x:c r="AC24" i="20"/>
  <x:c r="AG24" i="20"/>
  <x:c r="AH24" i="20"/>
  <x:c r="AI24" i="20"/>
  <x:c r="AJ24" i="20"/>
  <x:c r="AK24" i="20"/>
  <x:c r="AL24" i="20"/>
  <x:c r="AM24" i="20"/>
  <x:c r="R25" i="20"/>
  <x:c r="S25" i="20"/>
  <x:c r="T25" i="20"/>
  <x:c r="W25" i="20"/>
  <x:c r="X25" i="20"/>
  <x:c r="Y25" i="20"/>
  <x:c r="Z25" i="20"/>
  <x:c r="AA25" i="20"/>
  <x:c r="AB25" i="20"/>
  <x:c r="AC25" i="20"/>
  <x:c r="AG25" i="20"/>
  <x:c r="AH25" i="20"/>
  <x:c r="AI25" i="20"/>
  <x:c r="AJ25" i="20"/>
  <x:c r="AK25" i="20"/>
  <x:c r="AL25" i="20"/>
  <x:c r="AM25" i="20"/>
  <x:c r="R26" i="20"/>
  <x:c r="S26" i="20"/>
  <x:c r="T26" i="20"/>
  <x:c r="W26" i="20"/>
  <x:c r="X26" i="20"/>
  <x:c r="Y26" i="20"/>
  <x:c r="Z26" i="20"/>
  <x:c r="AA26" i="20"/>
  <x:c r="AB26" i="20"/>
  <x:c r="AC26" i="20"/>
  <x:c r="AG26" i="20"/>
  <x:c r="AH26" i="20"/>
  <x:c r="AI26" i="20"/>
  <x:c r="AJ26" i="20"/>
  <x:c r="AK26" i="20"/>
  <x:c r="AL26" i="20"/>
  <x:c r="AM26" i="20"/>
  <x:c r="H27" i="20"/>
  <x:c r="J27" i="20"/>
  <x:c r="R28" i="20"/>
  <x:c r="S28" i="20"/>
  <x:c r="T28" i="20"/>
  <x:c r="W28" i="20"/>
  <x:c r="X28" i="20"/>
  <x:c r="Y28" i="20"/>
  <x:c r="Z28" i="20"/>
  <x:c r="AA28" i="20"/>
  <x:c r="AB28" i="20"/>
  <x:c r="AC28" i="20"/>
  <x:c r="AG28" i="20"/>
  <x:c r="AH28" i="20"/>
  <x:c r="AI28" i="20"/>
  <x:c r="AJ28" i="20"/>
  <x:c r="AK28" i="20"/>
  <x:c r="AL28" i="20"/>
  <x:c r="AM28" i="20"/>
  <x:c r="R29" i="20"/>
  <x:c r="S29" i="20"/>
  <x:c r="T29" i="20"/>
  <x:c r="W29" i="20"/>
  <x:c r="X29" i="20"/>
  <x:c r="Y29" i="20"/>
  <x:c r="Z29" i="20"/>
  <x:c r="AA29" i="20"/>
  <x:c r="AB29" i="20"/>
  <x:c r="AC29" i="20"/>
  <x:c r="AG29" i="20"/>
  <x:c r="AH29" i="20"/>
  <x:c r="AI29" i="20"/>
  <x:c r="AJ29" i="20"/>
  <x:c r="AK29" i="20"/>
  <x:c r="AL29" i="20"/>
  <x:c r="AM29" i="20"/>
  <x:c r="H30" i="20"/>
  <x:c r="J30" i="20"/>
  <x:c r="S30" i="20"/>
  <x:c r="T30" i="20"/>
  <x:c r="W30" i="20"/>
  <x:c r="X30" i="20"/>
  <x:c r="Y30" i="20"/>
  <x:c r="Z30" i="20"/>
  <x:c r="AA30" i="20"/>
  <x:c r="AB30" i="20"/>
  <x:c r="AC30" i="20"/>
  <x:c r="AG30" i="20"/>
  <x:c r="AH30" i="20"/>
  <x:c r="AI30" i="20"/>
  <x:c r="AJ30" i="20"/>
  <x:c r="AK30" i="20"/>
  <x:c r="AL30" i="20"/>
  <x:c r="AM30" i="20"/>
  <x:c r="R31" i="20"/>
  <x:c r="S31" i="20"/>
  <x:c r="T31" i="20"/>
  <x:c r="W31" i="20"/>
  <x:c r="X31" i="20"/>
  <x:c r="Y31" i="20"/>
  <x:c r="Z31" i="20"/>
  <x:c r="AA31" i="20"/>
  <x:c r="AB31" i="20"/>
  <x:c r="AC31" i="20"/>
  <x:c r="AG31" i="20"/>
  <x:c r="AH31" i="20"/>
  <x:c r="AI31" i="20"/>
  <x:c r="AJ31" i="20"/>
  <x:c r="AK31" i="20"/>
  <x:c r="AL31" i="20"/>
  <x:c r="AM31" i="20"/>
  <x:c r="R32" i="20"/>
  <x:c r="S32" i="20"/>
  <x:c r="T32" i="20"/>
  <x:c r="W32" i="20"/>
  <x:c r="X32" i="20"/>
  <x:c r="Y32" i="20"/>
  <x:c r="Z32" i="20"/>
  <x:c r="AA32" i="20"/>
  <x:c r="AB32" i="20"/>
  <x:c r="AC32" i="20"/>
  <x:c r="AG32" i="20"/>
  <x:c r="AH32" i="20"/>
  <x:c r="AI32" i="20"/>
  <x:c r="AJ32" i="20"/>
  <x:c r="AK32" i="20"/>
  <x:c r="AL32" i="20"/>
  <x:c r="AM32" i="20"/>
  <x:c r="H33" i="20"/>
  <x:c r="R33" i="20"/>
  <x:c r="S33" i="20"/>
  <x:c r="T33" i="20"/>
  <x:c r="W33" i="20"/>
  <x:c r="X33" i="20"/>
  <x:c r="Y33" i="20"/>
  <x:c r="Z33" i="20"/>
  <x:c r="AA33" i="20"/>
  <x:c r="AB33" i="20"/>
  <x:c r="AC33" i="20"/>
  <x:c r="AG33" i="20"/>
  <x:c r="AH33" i="20"/>
  <x:c r="AI33" i="20"/>
  <x:c r="AJ33" i="20"/>
  <x:c r="AK33" i="20"/>
  <x:c r="AL33" i="20"/>
  <x:c r="AM33" i="20"/>
  <x:c r="R34" i="20"/>
  <x:c r="S34" i="20"/>
  <x:c r="T34" i="20"/>
  <x:c r="W34" i="20"/>
  <x:c r="X34" i="20"/>
  <x:c r="Y34" i="20"/>
  <x:c r="Z34" i="20"/>
  <x:c r="AA34" i="20"/>
  <x:c r="AB34" i="20"/>
  <x:c r="AC34" i="20"/>
  <x:c r="AG34" i="20"/>
  <x:c r="AH34" i="20"/>
  <x:c r="AI34" i="20"/>
  <x:c r="AJ34" i="20"/>
  <x:c r="AK34" i="20"/>
  <x:c r="AL34" i="20"/>
  <x:c r="AM34" i="20"/>
  <x:c r="R35" i="20"/>
  <x:c r="S35" i="20"/>
  <x:c r="T35" i="20"/>
  <x:c r="W35" i="20"/>
  <x:c r="X35" i="20"/>
  <x:c r="Y35" i="20"/>
  <x:c r="Z35" i="20"/>
  <x:c r="AA35" i="20"/>
  <x:c r="AB35" i="20"/>
  <x:c r="AC35" i="20"/>
  <x:c r="AG35" i="20"/>
  <x:c r="AH35" i="20"/>
  <x:c r="AI35" i="20"/>
  <x:c r="AJ35" i="20"/>
  <x:c r="AK35" i="20"/>
  <x:c r="AL35" i="20"/>
  <x:c r="AM35" i="20"/>
  <x:c r="H36" i="20"/>
  <x:c r="I36" i="20"/>
  <x:c r="J36" i="20"/>
  <x:c r="K36" i="20"/>
  <x:c r="R36" i="20"/>
  <x:c r="S36" i="20"/>
  <x:c r="T36" i="20"/>
  <x:c r="W36" i="20"/>
  <x:c r="X36" i="20"/>
  <x:c r="Y36" i="20"/>
  <x:c r="Z36" i="20"/>
  <x:c r="AA36" i="20"/>
  <x:c r="AB36" i="20"/>
  <x:c r="AC36" i="20"/>
  <x:c r="AG36" i="20"/>
  <x:c r="AH36" i="20"/>
  <x:c r="AI36" i="20"/>
  <x:c r="AJ36" i="20"/>
  <x:c r="AK36" i="20"/>
  <x:c r="AL36" i="20"/>
  <x:c r="AM36" i="20"/>
  <x:c r="H37" i="20"/>
  <x:c r="I37" i="20"/>
  <x:c r="J37" i="20"/>
  <x:c r="K37" i="20"/>
  <x:c r="H38" i="20"/>
  <x:c r="I38" i="20"/>
  <x:c r="J38" i="20"/>
  <x:c r="K38" i="20"/>
  <x:c r="S38" i="20"/>
  <x:c r="T38" i="20"/>
  <x:c r="U38" i="20"/>
  <x:c r="W38" i="20"/>
  <x:c r="X38" i="20"/>
  <x:c r="Y38" i="20"/>
  <x:c r="Z38" i="20"/>
  <x:c r="AA38" i="20"/>
  <x:c r="AB38" i="20"/>
  <x:c r="AC38" i="20"/>
  <x:c r="H39" i="20"/>
  <x:c r="I39" i="20"/>
  <x:c r="J39" i="20"/>
  <x:c r="K39" i="20"/>
  <x:c r="W39" i="20"/>
  <x:c r="X39" i="20"/>
  <x:c r="Y39" i="20"/>
  <x:c r="Z39" i="20"/>
  <x:c r="AA39" i="20"/>
  <x:c r="AB39" i="20"/>
  <x:c r="AC39" i="20"/>
  <x:c r="H40" i="20"/>
  <x:c r="I40" i="20"/>
  <x:c r="J40" i="20"/>
  <x:c r="K40" i="20"/>
  <x:c r="W40" i="20"/>
  <x:c r="X40" i="20"/>
  <x:c r="Y40" i="20"/>
  <x:c r="Z40" i="20"/>
  <x:c r="AA40" i="20"/>
  <x:c r="AB40" i="20"/>
  <x:c r="AC40" i="20"/>
  <x:c r="H41" i="20"/>
  <x:c r="I41" i="20"/>
  <x:c r="J41" i="20"/>
  <x:c r="K41" i="20"/>
  <x:c r="W41" i="20"/>
  <x:c r="X41" i="20"/>
  <x:c r="Y41" i="20"/>
  <x:c r="Z41" i="20"/>
  <x:c r="AA41" i="20"/>
  <x:c r="AB41" i="20"/>
  <x:c r="AC41" i="20"/>
  <x:c r="H42" i="20"/>
  <x:c r="I42" i="20"/>
  <x:c r="J42" i="20"/>
  <x:c r="K42" i="20"/>
  <x:c r="W42" i="20"/>
  <x:c r="X42" i="20"/>
  <x:c r="Y42" i="20"/>
  <x:c r="Z42" i="20"/>
  <x:c r="AA42" i="20"/>
  <x:c r="AB42" i="20"/>
  <x:c r="AC42" i="20"/>
  <x:c r="H43" i="20"/>
  <x:c r="I43" i="20"/>
  <x:c r="J43" i="20"/>
  <x:c r="K43" i="20"/>
  <x:c r="H44" i="20"/>
  <x:c r="I44" i="20"/>
  <x:c r="J44" i="20"/>
  <x:c r="K44" i="20"/>
  <x:c r="H45" i="20"/>
  <x:c r="I45" i="20"/>
  <x:c r="J45" i="20"/>
  <x:c r="K45" i="20"/>
  <x:c r="H46" i="20"/>
  <x:c r="I46" i="20"/>
  <x:c r="J46" i="20"/>
  <x:c r="K46" i="20"/>
  <x:c r="H47" i="20"/>
  <x:c r="I47" i="20"/>
  <x:c r="J47" i="20"/>
  <x:c r="K47" i="20"/>
  <x:c r="H48" i="20"/>
  <x:c r="I48" i="20"/>
  <x:c r="J48" i="20"/>
  <x:c r="K48" i="20"/>
  <x:c r="H49" i="20"/>
  <x:c r="I49" i="20"/>
  <x:c r="J49" i="20"/>
  <x:c r="K49" i="20"/>
  <x:c r="H50" i="20"/>
  <x:c r="I50" i="20"/>
  <x:c r="J50" i="20"/>
  <x:c r="K50" i="20"/>
  <x:c r="H53" i="20"/>
  <x:c r="I53" i="20"/>
  <x:c r="J53" i="20"/>
  <x:c r="K53" i="20"/>
  <x:c r="H54" i="20"/>
  <x:c r="I54" i="20"/>
  <x:c r="J54" i="20"/>
  <x:c r="K54" i="20"/>
  <x:c r="H55" i="20"/>
  <x:c r="I55" i="20"/>
  <x:c r="J55" i="20"/>
  <x:c r="K55" i="20"/>
  <x:c r="H56" i="20"/>
  <x:c r="I56" i="20"/>
  <x:c r="J56" i="20"/>
  <x:c r="K56" i="20"/>
  <x:c r="H57" i="20"/>
  <x:c r="I57" i="20"/>
  <x:c r="J57" i="20"/>
  <x:c r="K57" i="20"/>
  <x:c r="H58" i="20"/>
  <x:c r="I58" i="20"/>
  <x:c r="J58" i="20"/>
  <x:c r="K58" i="20"/>
  <x:c r="H59" i="20"/>
  <x:c r="I59" i="20"/>
  <x:c r="J59" i="20"/>
  <x:c r="K59" i="20"/>
  <x:c r="H60" i="20"/>
  <x:c r="I60" i="20"/>
  <x:c r="J60" i="20"/>
  <x:c r="K60" i="20"/>
  <x:c r="H61" i="20"/>
  <x:c r="I61" i="20"/>
  <x:c r="J61" i="20"/>
  <x:c r="K61" i="20"/>
  <x:c r="H62" i="20"/>
  <x:c r="I62" i="20"/>
  <x:c r="J62" i="20"/>
  <x:c r="K62" i="20"/>
  <x:c r="R62" i="20"/>
  <x:c r="S62" i="20"/>
  <x:c r="T62" i="20"/>
  <x:c r="W62" i="20"/>
  <x:c r="X62" i="20"/>
  <x:c r="Y62" i="20"/>
  <x:c r="Z62" i="20"/>
  <x:c r="AA62" i="20"/>
  <x:c r="AB62" i="20"/>
  <x:c r="AC62" i="20"/>
  <x:c r="AG62" i="20"/>
  <x:c r="AH62" i="20"/>
  <x:c r="AI62" i="20"/>
  <x:c r="AJ62" i="20"/>
  <x:c r="AK62" i="20"/>
  <x:c r="AL62" i="20"/>
  <x:c r="AM62" i="20"/>
  <x:c r="H63" i="20"/>
  <x:c r="I63" i="20"/>
  <x:c r="J63" i="20"/>
  <x:c r="K63" i="20"/>
  <x:c r="R63" i="20"/>
  <x:c r="S63" i="20"/>
  <x:c r="T63" i="20"/>
  <x:c r="W63" i="20"/>
  <x:c r="X63" i="20"/>
  <x:c r="Y63" i="20"/>
  <x:c r="Z63" i="20"/>
  <x:c r="AA63" i="20"/>
  <x:c r="AB63" i="20"/>
  <x:c r="AC63" i="20"/>
  <x:c r="AG63" i="20"/>
  <x:c r="AH63" i="20"/>
  <x:c r="AI63" i="20"/>
  <x:c r="AJ63" i="20"/>
  <x:c r="AK63" i="20"/>
  <x:c r="AL63" i="20"/>
  <x:c r="AM63" i="20"/>
  <x:c r="H64" i="20"/>
  <x:c r="I64" i="20"/>
  <x:c r="J64" i="20"/>
  <x:c r="K64" i="20"/>
  <x:c r="R64" i="20"/>
  <x:c r="S64" i="20"/>
  <x:c r="T64" i="20"/>
  <x:c r="W64" i="20"/>
  <x:c r="X64" i="20"/>
  <x:c r="Y64" i="20"/>
  <x:c r="Z64" i="20"/>
  <x:c r="AA64" i="20"/>
  <x:c r="AB64" i="20"/>
  <x:c r="AC64" i="20"/>
  <x:c r="AG64" i="20"/>
  <x:c r="AH64" i="20"/>
  <x:c r="AI64" i="20"/>
  <x:c r="AJ64" i="20"/>
  <x:c r="AK64" i="20"/>
  <x:c r="AL64" i="20"/>
  <x:c r="AM64" i="20"/>
  <x:c r="H65" i="20"/>
  <x:c r="I65" i="20"/>
  <x:c r="J65" i="20"/>
  <x:c r="K65" i="20"/>
  <x:c r="R65" i="20"/>
  <x:c r="S65" i="20"/>
  <x:c r="T65" i="20"/>
  <x:c r="W65" i="20"/>
  <x:c r="X65" i="20"/>
  <x:c r="Y65" i="20"/>
  <x:c r="Z65" i="20"/>
  <x:c r="AA65" i="20"/>
  <x:c r="AB65" i="20"/>
  <x:c r="AC65" i="20"/>
  <x:c r="AG65" i="20"/>
  <x:c r="AH65" i="20"/>
  <x:c r="AI65" i="20"/>
  <x:c r="AJ65" i="20"/>
  <x:c r="AK65" i="20"/>
  <x:c r="AL65" i="20"/>
  <x:c r="AM65" i="20"/>
  <x:c r="H66" i="20"/>
  <x:c r="I66" i="20"/>
  <x:c r="J66" i="20"/>
  <x:c r="K66" i="20"/>
  <x:c r="Q66" i="20"/>
  <x:c r="R66" i="20"/>
  <x:c r="S66" i="20"/>
  <x:c r="T66" i="20"/>
  <x:c r="W66" i="20"/>
  <x:c r="X66" i="20"/>
  <x:c r="Y66" i="20"/>
  <x:c r="Z66" i="20"/>
  <x:c r="AA66" i="20"/>
  <x:c r="AB66" i="20"/>
  <x:c r="AC66" i="20"/>
  <x:c r="AG66" i="20"/>
  <x:c r="AH66" i="20"/>
  <x:c r="AI66" i="20"/>
  <x:c r="AJ66" i="20"/>
  <x:c r="AK66" i="20"/>
  <x:c r="AL66" i="20"/>
  <x:c r="AM66" i="20"/>
  <x:c r="H67" i="20"/>
  <x:c r="I67" i="20"/>
  <x:c r="J67" i="20"/>
  <x:c r="K67" i="20"/>
  <x:c r="R67" i="20"/>
  <x:c r="S67" i="20"/>
  <x:c r="T67" i="20"/>
  <x:c r="W67" i="20"/>
  <x:c r="X67" i="20"/>
  <x:c r="Y67" i="20"/>
  <x:c r="Z67" i="20"/>
  <x:c r="AA67" i="20"/>
  <x:c r="AB67" i="20"/>
  <x:c r="AC67" i="20"/>
  <x:c r="AG67" i="20"/>
  <x:c r="AH67" i="20"/>
  <x:c r="AI67" i="20"/>
  <x:c r="AJ67" i="20"/>
  <x:c r="AK67" i="20"/>
  <x:c r="AL67" i="20"/>
  <x:c r="AM67" i="20"/>
  <x:c r="R68" i="20"/>
  <x:c r="S68" i="20"/>
  <x:c r="T68" i="20"/>
  <x:c r="W68" i="20"/>
  <x:c r="X68" i="20"/>
  <x:c r="Y68" i="20"/>
  <x:c r="Z68" i="20"/>
  <x:c r="AA68" i="20"/>
  <x:c r="AB68" i="20"/>
  <x:c r="AC68" i="20"/>
  <x:c r="AG68" i="20"/>
  <x:c r="AH68" i="20"/>
  <x:c r="AI68" i="20"/>
  <x:c r="AJ68" i="20"/>
  <x:c r="AK68" i="20"/>
  <x:c r="AL68" i="20"/>
  <x:c r="AM68" i="20"/>
  <x:c r="R69" i="20"/>
  <x:c r="S69" i="20"/>
  <x:c r="T69" i="20"/>
  <x:c r="W69" i="20"/>
  <x:c r="X69" i="20"/>
  <x:c r="Y69" i="20"/>
  <x:c r="Z69" i="20"/>
  <x:c r="AA69" i="20"/>
  <x:c r="AB69" i="20"/>
  <x:c r="AC69" i="20"/>
  <x:c r="AG69" i="20"/>
  <x:c r="AH69" i="20"/>
  <x:c r="AI69" i="20"/>
  <x:c r="AJ69" i="20"/>
  <x:c r="AK69" i="20"/>
  <x:c r="AL69" i="20"/>
  <x:c r="AM69" i="20"/>
  <x:c r="H70" i="20"/>
  <x:c r="J70" i="20"/>
  <x:c r="R70" i="20"/>
  <x:c r="S70" i="20"/>
  <x:c r="T70" i="20"/>
  <x:c r="W70" i="20"/>
  <x:c r="X70" i="20"/>
  <x:c r="Y70" i="20"/>
  <x:c r="Z70" i="20"/>
  <x:c r="AA70" i="20"/>
  <x:c r="AB70" i="20"/>
  <x:c r="AC70" i="20"/>
  <x:c r="AG70" i="20"/>
  <x:c r="AH70" i="20"/>
  <x:c r="AI70" i="20"/>
  <x:c r="AJ70" i="20"/>
  <x:c r="AK70" i="20"/>
  <x:c r="AL70" i="20"/>
  <x:c r="AM70" i="20"/>
  <x:c r="R72" i="20"/>
  <x:c r="S72" i="20"/>
  <x:c r="T72" i="20"/>
  <x:c r="W72" i="20"/>
  <x:c r="X72" i="20"/>
  <x:c r="Y72" i="20"/>
  <x:c r="Z72" i="20"/>
  <x:c r="AA72" i="20"/>
  <x:c r="AB72" i="20"/>
  <x:c r="AC72" i="20"/>
  <x:c r="AG72" i="20"/>
  <x:c r="AH72" i="20"/>
  <x:c r="AI72" i="20"/>
  <x:c r="AJ72" i="20"/>
  <x:c r="AK72" i="20"/>
  <x:c r="AL72" i="20"/>
  <x:c r="AM72" i="20"/>
  <x:c r="H73" i="20"/>
  <x:c r="J73" i="20"/>
  <x:c r="R73" i="20"/>
  <x:c r="S73" i="20"/>
  <x:c r="T73" i="20"/>
  <x:c r="W73" i="20"/>
  <x:c r="X73" i="20"/>
  <x:c r="Y73" i="20"/>
  <x:c r="Z73" i="20"/>
  <x:c r="AA73" i="20"/>
  <x:c r="AB73" i="20"/>
  <x:c r="AC73" i="20"/>
  <x:c r="AG73" i="20"/>
  <x:c r="AH73" i="20"/>
  <x:c r="AI73" i="20"/>
  <x:c r="AJ73" i="20"/>
  <x:c r="AK73" i="20"/>
  <x:c r="AL73" i="20"/>
  <x:c r="AM73" i="20"/>
  <x:c r="H74" i="20"/>
  <x:c r="J74" i="20"/>
  <x:c r="S74" i="20"/>
  <x:c r="T74" i="20"/>
  <x:c r="W74" i="20"/>
  <x:c r="X74" i="20"/>
  <x:c r="Y74" i="20"/>
  <x:c r="Z74" i="20"/>
  <x:c r="AA74" i="20"/>
  <x:c r="AB74" i="20"/>
  <x:c r="AC74" i="20"/>
  <x:c r="AG74" i="20"/>
  <x:c r="AH74" i="20"/>
  <x:c r="AI74" i="20"/>
  <x:c r="AJ74" i="20"/>
  <x:c r="AK74" i="20"/>
  <x:c r="AL74" i="20"/>
  <x:c r="AM74" i="20"/>
  <x:c r="H75" i="20"/>
  <x:c r="J75" i="20"/>
  <x:c r="R75" i="20"/>
  <x:c r="S75" i="20"/>
  <x:c r="T75" i="20"/>
  <x:c r="W75" i="20"/>
  <x:c r="X75" i="20"/>
  <x:c r="Y75" i="20"/>
  <x:c r="Z75" i="20"/>
  <x:c r="AA75" i="20"/>
  <x:c r="AB75" i="20"/>
  <x:c r="AC75" i="20"/>
  <x:c r="AG75" i="20"/>
  <x:c r="AH75" i="20"/>
  <x:c r="AI75" i="20"/>
  <x:c r="AJ75" i="20"/>
  <x:c r="AK75" i="20"/>
  <x:c r="AL75" i="20"/>
  <x:c r="AM75" i="20"/>
  <x:c r="R76" i="20"/>
  <x:c r="S76" i="20"/>
  <x:c r="T76" i="20"/>
  <x:c r="W76" i="20"/>
  <x:c r="X76" i="20"/>
  <x:c r="Y76" i="20"/>
  <x:c r="Z76" i="20"/>
  <x:c r="AA76" i="20"/>
  <x:c r="AB76" i="20"/>
  <x:c r="AC76" i="20"/>
  <x:c r="AG76" i="20"/>
  <x:c r="AH76" i="20"/>
  <x:c r="AI76" i="20"/>
  <x:c r="AJ76" i="20"/>
  <x:c r="AK76" i="20"/>
  <x:c r="AL76" i="20"/>
  <x:c r="AM76" i="20"/>
  <x:c r="D77" i="20"/>
  <x:c r="R77" i="20"/>
  <x:c r="S77" i="20"/>
  <x:c r="T77" i="20"/>
  <x:c r="W77" i="20"/>
  <x:c r="X77" i="20"/>
  <x:c r="Y77" i="20"/>
  <x:c r="Z77" i="20"/>
  <x:c r="AA77" i="20"/>
  <x:c r="AB77" i="20"/>
  <x:c r="AC77" i="20"/>
  <x:c r="AG77" i="20"/>
  <x:c r="AH77" i="20"/>
  <x:c r="AI77" i="20"/>
  <x:c r="AJ77" i="20"/>
  <x:c r="AK77" i="20"/>
  <x:c r="AL77" i="20"/>
  <x:c r="AM77" i="20"/>
  <x:c r="R78" i="20"/>
  <x:c r="S78" i="20"/>
  <x:c r="T78" i="20"/>
  <x:c r="W78" i="20"/>
  <x:c r="X78" i="20"/>
  <x:c r="Y78" i="20"/>
  <x:c r="Z78" i="20"/>
  <x:c r="AA78" i="20"/>
  <x:c r="AB78" i="20"/>
  <x:c r="AC78" i="20"/>
  <x:c r="AG78" i="20"/>
  <x:c r="AH78" i="20"/>
  <x:c r="AI78" i="20"/>
  <x:c r="AJ78" i="20"/>
  <x:c r="AK78" i="20"/>
  <x:c r="AL78" i="20"/>
  <x:c r="AM78" i="20"/>
  <x:c r="R79" i="20"/>
  <x:c r="S79" i="20"/>
  <x:c r="T79" i="20"/>
  <x:c r="W79" i="20"/>
  <x:c r="X79" i="20"/>
  <x:c r="Y79" i="20"/>
  <x:c r="Z79" i="20"/>
  <x:c r="AA79" i="20"/>
  <x:c r="AB79" i="20"/>
  <x:c r="AC79" i="20"/>
  <x:c r="AG79" i="20"/>
  <x:c r="AH79" i="20"/>
  <x:c r="AI79" i="20"/>
  <x:c r="AJ79" i="20"/>
  <x:c r="AK79" i="20"/>
  <x:c r="AL79" i="20"/>
  <x:c r="AM79" i="20"/>
  <x:c r="R80" i="20"/>
  <x:c r="S80" i="20"/>
  <x:c r="T80" i="20"/>
  <x:c r="W80" i="20"/>
  <x:c r="X80" i="20"/>
  <x:c r="Y80" i="20"/>
  <x:c r="Z80" i="20"/>
  <x:c r="AA80" i="20"/>
  <x:c r="AB80" i="20"/>
  <x:c r="AC80" i="20"/>
  <x:c r="AG80" i="20"/>
  <x:c r="AH80" i="20"/>
  <x:c r="AI80" i="20"/>
  <x:c r="AJ80" i="20"/>
  <x:c r="AK80" i="20"/>
  <x:c r="AL80" i="20"/>
  <x:c r="AM80" i="20"/>
  <x:c r="S82" i="20"/>
  <x:c r="T82" i="20"/>
  <x:c r="U82" i="20"/>
  <x:c r="W82" i="20"/>
  <x:c r="X82" i="20"/>
  <x:c r="Y82" i="20"/>
  <x:c r="Z82" i="20"/>
  <x:c r="AA82" i="20"/>
  <x:c r="AB82" i="20"/>
  <x:c r="AC82" i="20"/>
  <x:c r="W83" i="20"/>
  <x:c r="X83" i="20"/>
  <x:c r="Y83" i="20"/>
  <x:c r="Z83" i="20"/>
  <x:c r="AA83" i="20"/>
  <x:c r="AB83" i="20"/>
  <x:c r="AC83" i="20"/>
  <x:c r="W84" i="20"/>
  <x:c r="X84" i="20"/>
  <x:c r="Y84" i="20"/>
  <x:c r="Z84" i="20"/>
  <x:c r="AA84" i="20"/>
  <x:c r="AB84" i="20"/>
  <x:c r="AC84" i="20"/>
  <x:c r="W85" i="20"/>
  <x:c r="X85" i="20"/>
  <x:c r="Y85" i="20"/>
  <x:c r="Z85" i="20"/>
  <x:c r="AA85" i="20"/>
  <x:c r="AB85" i="20"/>
  <x:c r="AC85" i="20"/>
  <x:c r="W86" i="20"/>
  <x:c r="X86" i="20"/>
  <x:c r="Y86" i="20"/>
  <x:c r="Z86" i="20"/>
  <x:c r="AA86" i="20"/>
  <x:c r="AB86" i="20"/>
  <x:c r="AC86" i="20"/>
  <x:c r="H5" i="21"/>
  <x:c r="I5" i="21"/>
  <x:c r="J5" i="21"/>
  <x:c r="K5" i="21"/>
  <x:c r="H6" i="21"/>
  <x:c r="I6" i="21"/>
  <x:c r="J6" i="21"/>
  <x:c r="K6" i="21"/>
  <x:c r="H7" i="21"/>
  <x:c r="I7" i="21"/>
  <x:c r="J7" i="21"/>
  <x:c r="K7" i="21"/>
  <x:c r="H8" i="21"/>
  <x:c r="I8" i="21"/>
  <x:c r="J8" i="21"/>
  <x:c r="K8" i="21"/>
  <x:c r="H11" i="21"/>
  <x:c r="I11" i="21"/>
  <x:c r="J11" i="21"/>
  <x:c r="K11" i="21"/>
  <x:c r="H12" i="21"/>
  <x:c r="I12" i="21"/>
  <x:c r="J12" i="21"/>
  <x:c r="K12" i="21"/>
  <x:c r="H13" i="21"/>
  <x:c r="I13" i="21"/>
  <x:c r="J13" i="21"/>
  <x:c r="K13" i="21"/>
  <x:c r="H14" i="21"/>
  <x:c r="I14" i="21"/>
  <x:c r="J14" i="21"/>
  <x:c r="K14" i="21"/>
  <x:c r="H17" i="21"/>
  <x:c r="I17" i="21"/>
  <x:c r="J17" i="21"/>
  <x:c r="K17" i="21"/>
  <x:c r="H18" i="21"/>
  <x:c r="I18" i="21"/>
  <x:c r="J18" i="21"/>
  <x:c r="K18" i="21"/>
  <x:c r="R18" i="21"/>
  <x:c r="S18" i="21"/>
  <x:c r="T18" i="21"/>
  <x:c r="W18" i="21"/>
  <x:c r="X18" i="21"/>
  <x:c r="Y18" i="21"/>
  <x:c r="Z18" i="21"/>
  <x:c r="AA18" i="21"/>
  <x:c r="AB18" i="21"/>
  <x:c r="AC18" i="21"/>
  <x:c r="AG18" i="21"/>
  <x:c r="AH18" i="21"/>
  <x:c r="AI18" i="21"/>
  <x:c r="AJ18" i="21"/>
  <x:c r="AK18" i="21"/>
  <x:c r="AL18" i="21"/>
  <x:c r="AM18" i="21"/>
  <x:c r="H19" i="21"/>
  <x:c r="I19" i="21"/>
  <x:c r="J19" i="21"/>
  <x:c r="K19" i="21"/>
  <x:c r="R19" i="21"/>
  <x:c r="S19" i="21"/>
  <x:c r="T19" i="21"/>
  <x:c r="W19" i="21"/>
  <x:c r="X19" i="21"/>
  <x:c r="Y19" i="21"/>
  <x:c r="Z19" i="21"/>
  <x:c r="AA19" i="21"/>
  <x:c r="AB19" i="21"/>
  <x:c r="AC19" i="21"/>
  <x:c r="AG19" i="21"/>
  <x:c r="AH19" i="21"/>
  <x:c r="AI19" i="21"/>
  <x:c r="AJ19" i="21"/>
  <x:c r="AK19" i="21"/>
  <x:c r="AL19" i="21"/>
  <x:c r="AM19" i="21"/>
  <x:c r="H20" i="21"/>
  <x:c r="I20" i="21"/>
  <x:c r="J20" i="21"/>
  <x:c r="K20" i="21"/>
  <x:c r="R20" i="21"/>
  <x:c r="S20" i="21"/>
  <x:c r="T20" i="21"/>
  <x:c r="W20" i="21"/>
  <x:c r="X20" i="21"/>
  <x:c r="Y20" i="21"/>
  <x:c r="Z20" i="21"/>
  <x:c r="AA20" i="21"/>
  <x:c r="AB20" i="21"/>
  <x:c r="AC20" i="21"/>
  <x:c r="AG20" i="21"/>
  <x:c r="AH20" i="21"/>
  <x:c r="AI20" i="21"/>
  <x:c r="AJ20" i="21"/>
  <x:c r="AK20" i="21"/>
  <x:c r="AL20" i="21"/>
  <x:c r="AM20" i="21"/>
  <x:c r="R21" i="21"/>
  <x:c r="S21" i="21"/>
  <x:c r="T21" i="21"/>
  <x:c r="W21" i="21"/>
  <x:c r="X21" i="21"/>
  <x:c r="Y21" i="21"/>
  <x:c r="Z21" i="21"/>
  <x:c r="AA21" i="21"/>
  <x:c r="AB21" i="21"/>
  <x:c r="AC21" i="21"/>
  <x:c r="AG21" i="21"/>
  <x:c r="AH21" i="21"/>
  <x:c r="AI21" i="21"/>
  <x:c r="AJ21" i="21"/>
  <x:c r="AK21" i="21"/>
  <x:c r="AL21" i="21"/>
  <x:c r="AM21" i="21"/>
  <x:c r="Q22" i="21"/>
  <x:c r="R22" i="21"/>
  <x:c r="S22" i="21"/>
  <x:c r="T22" i="21"/>
  <x:c r="W22" i="21"/>
  <x:c r="X22" i="21"/>
  <x:c r="Y22" i="21"/>
  <x:c r="Z22" i="21"/>
  <x:c r="AA22" i="21"/>
  <x:c r="AB22" i="21"/>
  <x:c r="AC22" i="21"/>
  <x:c r="AG22" i="21"/>
  <x:c r="AH22" i="21"/>
  <x:c r="AI22" i="21"/>
  <x:c r="AJ22" i="21"/>
  <x:c r="AK22" i="21"/>
  <x:c r="AL22" i="21"/>
  <x:c r="AM22" i="21"/>
  <x:c r="H23" i="21"/>
  <x:c r="J23" i="21"/>
  <x:c r="R23" i="21"/>
  <x:c r="S23" i="21"/>
  <x:c r="T23" i="21"/>
  <x:c r="W23" i="21"/>
  <x:c r="X23" i="21"/>
  <x:c r="Y23" i="21"/>
  <x:c r="Z23" i="21"/>
  <x:c r="AA23" i="21"/>
  <x:c r="AB23" i="21"/>
  <x:c r="AC23" i="21"/>
  <x:c r="AG23" i="21"/>
  <x:c r="AH23" i="21"/>
  <x:c r="AI23" i="21"/>
  <x:c r="AJ23" i="21"/>
  <x:c r="AK23" i="21"/>
  <x:c r="AL23" i="21"/>
  <x:c r="AM23" i="21"/>
  <x:c r="H24" i="21"/>
  <x:c r="R24" i="21"/>
  <x:c r="S24" i="21"/>
  <x:c r="T24" i="21"/>
  <x:c r="W24" i="21"/>
  <x:c r="X24" i="21"/>
  <x:c r="Y24" i="21"/>
  <x:c r="Z24" i="21"/>
  <x:c r="AA24" i="21"/>
  <x:c r="AB24" i="21"/>
  <x:c r="AC24" i="21"/>
  <x:c r="AG24" i="21"/>
  <x:c r="AH24" i="21"/>
  <x:c r="AI24" i="21"/>
  <x:c r="AJ24" i="21"/>
  <x:c r="AK24" i="21"/>
  <x:c r="AL24" i="21"/>
  <x:c r="AM24" i="21"/>
  <x:c r="R25" i="21"/>
  <x:c r="S25" i="21"/>
  <x:c r="T25" i="21"/>
  <x:c r="W25" i="21"/>
  <x:c r="X25" i="21"/>
  <x:c r="Y25" i="21"/>
  <x:c r="Z25" i="21"/>
  <x:c r="AA25" i="21"/>
  <x:c r="AB25" i="21"/>
  <x:c r="AC25" i="21"/>
  <x:c r="AG25" i="21"/>
  <x:c r="AH25" i="21"/>
  <x:c r="AI25" i="21"/>
  <x:c r="AJ25" i="21"/>
  <x:c r="AK25" i="21"/>
  <x:c r="AL25" i="21"/>
  <x:c r="AM25" i="21"/>
  <x:c r="R26" i="21"/>
  <x:c r="S26" i="21"/>
  <x:c r="T26" i="21"/>
  <x:c r="W26" i="21"/>
  <x:c r="X26" i="21"/>
  <x:c r="Y26" i="21"/>
  <x:c r="Z26" i="21"/>
  <x:c r="AA26" i="21"/>
  <x:c r="AB26" i="21"/>
  <x:c r="AC26" i="21"/>
  <x:c r="AG26" i="21"/>
  <x:c r="AH26" i="21"/>
  <x:c r="AI26" i="21"/>
  <x:c r="AJ26" i="21"/>
  <x:c r="AK26" i="21"/>
  <x:c r="AL26" i="21"/>
  <x:c r="AM26" i="21"/>
  <x:c r="H27" i="21"/>
  <x:c r="J27" i="21"/>
  <x:c r="R28" i="21"/>
  <x:c r="S28" i="21"/>
  <x:c r="T28" i="21"/>
  <x:c r="W28" i="21"/>
  <x:c r="X28" i="21"/>
  <x:c r="Y28" i="21"/>
  <x:c r="Z28" i="21"/>
  <x:c r="AA28" i="21"/>
  <x:c r="AB28" i="21"/>
  <x:c r="AC28" i="21"/>
  <x:c r="AG28" i="21"/>
  <x:c r="AH28" i="21"/>
  <x:c r="AI28" i="21"/>
  <x:c r="AJ28" i="21"/>
  <x:c r="AK28" i="21"/>
  <x:c r="AL28" i="21"/>
  <x:c r="AM28" i="21"/>
  <x:c r="R29" i="21"/>
  <x:c r="S29" i="21"/>
  <x:c r="T29" i="21"/>
  <x:c r="W29" i="21"/>
  <x:c r="X29" i="21"/>
  <x:c r="Y29" i="21"/>
  <x:c r="Z29" i="21"/>
  <x:c r="AA29" i="21"/>
  <x:c r="AB29" i="21"/>
  <x:c r="AC29" i="21"/>
  <x:c r="AG29" i="21"/>
  <x:c r="AH29" i="21"/>
  <x:c r="AI29" i="21"/>
  <x:c r="AJ29" i="21"/>
  <x:c r="AK29" i="21"/>
  <x:c r="AL29" i="21"/>
  <x:c r="AM29" i="21"/>
  <x:c r="H30" i="21"/>
  <x:c r="J30" i="21"/>
  <x:c r="S30" i="21"/>
  <x:c r="T30" i="21"/>
  <x:c r="W30" i="21"/>
  <x:c r="X30" i="21"/>
  <x:c r="Y30" i="21"/>
  <x:c r="Z30" i="21"/>
  <x:c r="AA30" i="21"/>
  <x:c r="AB30" i="21"/>
  <x:c r="AC30" i="21"/>
  <x:c r="AG30" i="21"/>
  <x:c r="AH30" i="21"/>
  <x:c r="AI30" i="21"/>
  <x:c r="AJ30" i="21"/>
  <x:c r="AK30" i="21"/>
  <x:c r="AL30" i="21"/>
  <x:c r="AM30" i="21"/>
  <x:c r="R31" i="21"/>
  <x:c r="S31" i="21"/>
  <x:c r="T31" i="21"/>
  <x:c r="W31" i="21"/>
  <x:c r="X31" i="21"/>
  <x:c r="Y31" i="21"/>
  <x:c r="Z31" i="21"/>
  <x:c r="AA31" i="21"/>
  <x:c r="AB31" i="21"/>
  <x:c r="AC31" i="21"/>
  <x:c r="AG31" i="21"/>
  <x:c r="AH31" i="21"/>
  <x:c r="AI31" i="21"/>
  <x:c r="AJ31" i="21"/>
  <x:c r="AK31" i="21"/>
  <x:c r="AL31" i="21"/>
  <x:c r="AM31" i="21"/>
  <x:c r="R32" i="21"/>
  <x:c r="S32" i="21"/>
  <x:c r="T32" i="21"/>
  <x:c r="W32" i="21"/>
  <x:c r="X32" i="21"/>
  <x:c r="Y32" i="21"/>
  <x:c r="Z32" i="21"/>
  <x:c r="AA32" i="21"/>
  <x:c r="AB32" i="21"/>
  <x:c r="AC32" i="21"/>
  <x:c r="AG32" i="21"/>
  <x:c r="AH32" i="21"/>
  <x:c r="AI32" i="21"/>
  <x:c r="AJ32" i="21"/>
  <x:c r="AK32" i="21"/>
  <x:c r="AL32" i="21"/>
  <x:c r="AM32" i="21"/>
  <x:c r="H33" i="21"/>
  <x:c r="R33" i="21"/>
  <x:c r="S33" i="21"/>
  <x:c r="T33" i="21"/>
  <x:c r="W33" i="21"/>
  <x:c r="X33" i="21"/>
  <x:c r="Y33" i="21"/>
  <x:c r="Z33" i="21"/>
  <x:c r="AA33" i="21"/>
  <x:c r="AB33" i="21"/>
  <x:c r="AC33" i="21"/>
  <x:c r="AG33" i="21"/>
  <x:c r="AH33" i="21"/>
  <x:c r="AI33" i="21"/>
  <x:c r="AJ33" i="21"/>
  <x:c r="AK33" i="21"/>
  <x:c r="AL33" i="21"/>
  <x:c r="AM33" i="21"/>
  <x:c r="R34" i="21"/>
  <x:c r="S34" i="21"/>
  <x:c r="T34" i="21"/>
  <x:c r="W34" i="21"/>
  <x:c r="X34" i="21"/>
  <x:c r="Y34" i="21"/>
  <x:c r="Z34" i="21"/>
  <x:c r="AA34" i="21"/>
  <x:c r="AB34" i="21"/>
  <x:c r="AC34" i="21"/>
  <x:c r="AG34" i="21"/>
  <x:c r="AH34" i="21"/>
  <x:c r="AI34" i="21"/>
  <x:c r="AJ34" i="21"/>
  <x:c r="AK34" i="21"/>
  <x:c r="AL34" i="21"/>
  <x:c r="AM34" i="21"/>
  <x:c r="R35" i="21"/>
  <x:c r="S35" i="21"/>
  <x:c r="T35" i="21"/>
  <x:c r="W35" i="21"/>
  <x:c r="X35" i="21"/>
  <x:c r="Y35" i="21"/>
  <x:c r="Z35" i="21"/>
  <x:c r="AA35" i="21"/>
  <x:c r="AB35" i="21"/>
  <x:c r="AC35" i="21"/>
  <x:c r="AG35" i="21"/>
  <x:c r="AH35" i="21"/>
  <x:c r="AI35" i="21"/>
  <x:c r="AJ35" i="21"/>
  <x:c r="AK35" i="21"/>
  <x:c r="AL35" i="21"/>
  <x:c r="AM35" i="21"/>
  <x:c r="H36" i="21"/>
  <x:c r="I36" i="21"/>
  <x:c r="J36" i="21"/>
  <x:c r="K36" i="21"/>
  <x:c r="R36" i="21"/>
  <x:c r="S36" i="21"/>
  <x:c r="T36" i="21"/>
  <x:c r="W36" i="21"/>
  <x:c r="X36" i="21"/>
  <x:c r="Y36" i="21"/>
  <x:c r="Z36" i="21"/>
  <x:c r="AA36" i="21"/>
  <x:c r="AB36" i="21"/>
  <x:c r="AC36" i="21"/>
  <x:c r="AG36" i="21"/>
  <x:c r="AH36" i="21"/>
  <x:c r="AI36" i="21"/>
  <x:c r="AJ36" i="21"/>
  <x:c r="AK36" i="21"/>
  <x:c r="AL36" i="21"/>
  <x:c r="AM36" i="21"/>
  <x:c r="H37" i="21"/>
  <x:c r="I37" i="21"/>
  <x:c r="J37" i="21"/>
  <x:c r="K37" i="21"/>
  <x:c r="H38" i="21"/>
  <x:c r="I38" i="21"/>
  <x:c r="J38" i="21"/>
  <x:c r="K38" i="21"/>
  <x:c r="S38" i="21"/>
  <x:c r="T38" i="21"/>
  <x:c r="U38" i="21"/>
  <x:c r="W38" i="21"/>
  <x:c r="X38" i="21"/>
  <x:c r="Y38" i="21"/>
  <x:c r="Z38" i="21"/>
  <x:c r="AA38" i="21"/>
  <x:c r="AB38" i="21"/>
  <x:c r="AC38" i="21"/>
  <x:c r="H39" i="21"/>
  <x:c r="I39" i="21"/>
  <x:c r="J39" i="21"/>
  <x:c r="K39" i="21"/>
  <x:c r="W39" i="21"/>
  <x:c r="X39" i="21"/>
  <x:c r="Y39" i="21"/>
  <x:c r="Z39" i="21"/>
  <x:c r="AA39" i="21"/>
  <x:c r="AB39" i="21"/>
  <x:c r="AC39" i="21"/>
  <x:c r="H40" i="21"/>
  <x:c r="I40" i="21"/>
  <x:c r="J40" i="21"/>
  <x:c r="K40" i="21"/>
  <x:c r="W40" i="21"/>
  <x:c r="X40" i="21"/>
  <x:c r="Y40" i="21"/>
  <x:c r="Z40" i="21"/>
  <x:c r="AA40" i="21"/>
  <x:c r="AB40" i="21"/>
  <x:c r="AC40" i="21"/>
  <x:c r="H41" i="21"/>
  <x:c r="I41" i="21"/>
  <x:c r="J41" i="21"/>
  <x:c r="K41" i="21"/>
  <x:c r="W41" i="21"/>
  <x:c r="X41" i="21"/>
  <x:c r="Y41" i="21"/>
  <x:c r="Z41" i="21"/>
  <x:c r="AA41" i="21"/>
  <x:c r="AB41" i="21"/>
  <x:c r="AC41" i="21"/>
  <x:c r="H42" i="21"/>
  <x:c r="I42" i="21"/>
  <x:c r="J42" i="21"/>
  <x:c r="K42" i="21"/>
  <x:c r="W42" i="21"/>
  <x:c r="X42" i="21"/>
  <x:c r="Y42" i="21"/>
  <x:c r="Z42" i="21"/>
  <x:c r="AA42" i="21"/>
  <x:c r="AB42" i="21"/>
  <x:c r="AC42" i="21"/>
  <x:c r="H43" i="21"/>
  <x:c r="I43" i="21"/>
  <x:c r="J43" i="21"/>
  <x:c r="K43" i="21"/>
  <x:c r="H44" i="21"/>
  <x:c r="I44" i="21"/>
  <x:c r="J44" i="21"/>
  <x:c r="K44" i="21"/>
  <x:c r="H45" i="21"/>
  <x:c r="I45" i="21"/>
  <x:c r="J45" i="21"/>
  <x:c r="K45" i="21"/>
  <x:c r="H46" i="21"/>
  <x:c r="I46" i="21"/>
  <x:c r="J46" i="21"/>
  <x:c r="K46" i="21"/>
  <x:c r="H47" i="21"/>
  <x:c r="I47" i="21"/>
  <x:c r="J47" i="21"/>
  <x:c r="K47" i="21"/>
  <x:c r="H48" i="21"/>
  <x:c r="I48" i="21"/>
  <x:c r="J48" i="21"/>
  <x:c r="K48" i="21"/>
  <x:c r="H49" i="21"/>
  <x:c r="I49" i="21"/>
  <x:c r="J49" i="21"/>
  <x:c r="K49" i="21"/>
  <x:c r="H50" i="21"/>
  <x:c r="I50" i="21"/>
  <x:c r="J50" i="21"/>
  <x:c r="K50" i="21"/>
  <x:c r="H53" i="21"/>
  <x:c r="I53" i="21"/>
  <x:c r="J53" i="21"/>
  <x:c r="K53" i="21"/>
  <x:c r="H54" i="21"/>
  <x:c r="I54" i="21"/>
  <x:c r="J54" i="21"/>
  <x:c r="K54" i="21"/>
  <x:c r="H55" i="21"/>
  <x:c r="I55" i="21"/>
  <x:c r="J55" i="21"/>
  <x:c r="K55" i="21"/>
  <x:c r="H56" i="21"/>
  <x:c r="I56" i="21"/>
  <x:c r="J56" i="21"/>
  <x:c r="K56" i="21"/>
  <x:c r="H57" i="21"/>
  <x:c r="I57" i="21"/>
  <x:c r="J57" i="21"/>
  <x:c r="K57" i="21"/>
  <x:c r="H58" i="21"/>
  <x:c r="I58" i="21"/>
  <x:c r="J58" i="21"/>
  <x:c r="K58" i="21"/>
  <x:c r="H59" i="21"/>
  <x:c r="I59" i="21"/>
  <x:c r="J59" i="21"/>
  <x:c r="K59" i="21"/>
  <x:c r="H60" i="21"/>
  <x:c r="I60" i="21"/>
  <x:c r="J60" i="21"/>
  <x:c r="K60" i="21"/>
  <x:c r="H61" i="21"/>
  <x:c r="I61" i="21"/>
  <x:c r="J61" i="21"/>
  <x:c r="K61" i="21"/>
  <x:c r="H62" i="21"/>
  <x:c r="I62" i="21"/>
  <x:c r="J62" i="21"/>
  <x:c r="K62" i="21"/>
  <x:c r="R62" i="21"/>
  <x:c r="S62" i="21"/>
  <x:c r="T62" i="21"/>
  <x:c r="W62" i="21"/>
  <x:c r="X62" i="21"/>
  <x:c r="Y62" i="21"/>
  <x:c r="Z62" i="21"/>
  <x:c r="AA62" i="21"/>
  <x:c r="AB62" i="21"/>
  <x:c r="AC62" i="21"/>
  <x:c r="AG62" i="21"/>
  <x:c r="AH62" i="21"/>
  <x:c r="AI62" i="21"/>
  <x:c r="AJ62" i="21"/>
  <x:c r="AK62" i="21"/>
  <x:c r="AL62" i="21"/>
  <x:c r="AM62" i="21"/>
  <x:c r="H63" i="21"/>
  <x:c r="I63" i="21"/>
  <x:c r="J63" i="21"/>
  <x:c r="K63" i="21"/>
  <x:c r="R63" i="21"/>
  <x:c r="S63" i="21"/>
  <x:c r="T63" i="21"/>
  <x:c r="W63" i="21"/>
  <x:c r="X63" i="21"/>
  <x:c r="Y63" i="21"/>
  <x:c r="Z63" i="21"/>
  <x:c r="AA63" i="21"/>
  <x:c r="AB63" i="21"/>
  <x:c r="AC63" i="21"/>
  <x:c r="AG63" i="21"/>
  <x:c r="AH63" i="21"/>
  <x:c r="AI63" i="21"/>
  <x:c r="AJ63" i="21"/>
  <x:c r="AK63" i="21"/>
  <x:c r="AL63" i="21"/>
  <x:c r="AM63" i="21"/>
  <x:c r="H64" i="21"/>
  <x:c r="I64" i="21"/>
  <x:c r="J64" i="21"/>
  <x:c r="K64" i="21"/>
  <x:c r="R64" i="21"/>
  <x:c r="S64" i="21"/>
  <x:c r="T64" i="21"/>
  <x:c r="W64" i="21"/>
  <x:c r="X64" i="21"/>
  <x:c r="Y64" i="21"/>
  <x:c r="Z64" i="21"/>
  <x:c r="AA64" i="21"/>
  <x:c r="AB64" i="21"/>
  <x:c r="AC64" i="21"/>
  <x:c r="AG64" i="21"/>
  <x:c r="AH64" i="21"/>
  <x:c r="AI64" i="21"/>
  <x:c r="AJ64" i="21"/>
  <x:c r="AK64" i="21"/>
  <x:c r="AL64" i="21"/>
  <x:c r="AM64" i="21"/>
  <x:c r="H65" i="21"/>
  <x:c r="I65" i="21"/>
  <x:c r="J65" i="21"/>
  <x:c r="K65" i="21"/>
  <x:c r="R65" i="21"/>
  <x:c r="S65" i="21"/>
  <x:c r="T65" i="21"/>
  <x:c r="W65" i="21"/>
  <x:c r="X65" i="21"/>
  <x:c r="Y65" i="21"/>
  <x:c r="Z65" i="21"/>
  <x:c r="AA65" i="21"/>
  <x:c r="AB65" i="21"/>
  <x:c r="AC65" i="21"/>
  <x:c r="AG65" i="21"/>
  <x:c r="AH65" i="21"/>
  <x:c r="AI65" i="21"/>
  <x:c r="AJ65" i="21"/>
  <x:c r="AK65" i="21"/>
  <x:c r="AL65" i="21"/>
  <x:c r="AM65" i="21"/>
  <x:c r="H66" i="21"/>
  <x:c r="I66" i="21"/>
  <x:c r="J66" i="21"/>
  <x:c r="K66" i="21"/>
  <x:c r="Q66" i="21"/>
  <x:c r="R66" i="21"/>
  <x:c r="S66" i="21"/>
  <x:c r="T66" i="21"/>
  <x:c r="W66" i="21"/>
  <x:c r="X66" i="21"/>
  <x:c r="Y66" i="21"/>
  <x:c r="Z66" i="21"/>
  <x:c r="AA66" i="21"/>
  <x:c r="AB66" i="21"/>
  <x:c r="AC66" i="21"/>
  <x:c r="AG66" i="21"/>
  <x:c r="AH66" i="21"/>
  <x:c r="AI66" i="21"/>
  <x:c r="AJ66" i="21"/>
  <x:c r="AK66" i="21"/>
  <x:c r="AL66" i="21"/>
  <x:c r="AM66" i="21"/>
  <x:c r="H67" i="21"/>
  <x:c r="I67" i="21"/>
  <x:c r="J67" i="21"/>
  <x:c r="K67" i="21"/>
  <x:c r="R67" i="21"/>
  <x:c r="S67" i="21"/>
  <x:c r="T67" i="21"/>
  <x:c r="W67" i="21"/>
  <x:c r="X67" i="21"/>
  <x:c r="Y67" i="21"/>
  <x:c r="Z67" i="21"/>
  <x:c r="AA67" i="21"/>
  <x:c r="AB67" i="21"/>
  <x:c r="AC67" i="21"/>
  <x:c r="AG67" i="21"/>
  <x:c r="AH67" i="21"/>
  <x:c r="AI67" i="21"/>
  <x:c r="AJ67" i="21"/>
  <x:c r="AK67" i="21"/>
  <x:c r="AL67" i="21"/>
  <x:c r="AM67" i="21"/>
  <x:c r="R68" i="21"/>
  <x:c r="S68" i="21"/>
  <x:c r="T68" i="21"/>
  <x:c r="W68" i="21"/>
  <x:c r="X68" i="21"/>
  <x:c r="Y68" i="21"/>
  <x:c r="Z68" i="21"/>
  <x:c r="AA68" i="21"/>
  <x:c r="AB68" i="21"/>
  <x:c r="AC68" i="21"/>
  <x:c r="AG68" i="21"/>
  <x:c r="AH68" i="21"/>
  <x:c r="AI68" i="21"/>
  <x:c r="AJ68" i="21"/>
  <x:c r="AK68" i="21"/>
  <x:c r="AL68" i="21"/>
  <x:c r="AM68" i="21"/>
  <x:c r="R69" i="21"/>
  <x:c r="S69" i="21"/>
  <x:c r="T69" i="21"/>
  <x:c r="W69" i="21"/>
  <x:c r="X69" i="21"/>
  <x:c r="Y69" i="21"/>
  <x:c r="Z69" i="21"/>
  <x:c r="AA69" i="21"/>
  <x:c r="AB69" i="21"/>
  <x:c r="AC69" i="21"/>
  <x:c r="AG69" i="21"/>
  <x:c r="AH69" i="21"/>
  <x:c r="AI69" i="21"/>
  <x:c r="AJ69" i="21"/>
  <x:c r="AK69" i="21"/>
  <x:c r="AL69" i="21"/>
  <x:c r="AM69" i="21"/>
  <x:c r="H70" i="21"/>
  <x:c r="J70" i="21"/>
  <x:c r="R70" i="21"/>
  <x:c r="S70" i="21"/>
  <x:c r="T70" i="21"/>
  <x:c r="W70" i="21"/>
  <x:c r="X70" i="21"/>
  <x:c r="Y70" i="21"/>
  <x:c r="Z70" i="21"/>
  <x:c r="AA70" i="21"/>
  <x:c r="AB70" i="21"/>
  <x:c r="AC70" i="21"/>
  <x:c r="AG70" i="21"/>
  <x:c r="AH70" i="21"/>
  <x:c r="AI70" i="21"/>
  <x:c r="AJ70" i="21"/>
  <x:c r="AK70" i="21"/>
  <x:c r="AL70" i="21"/>
  <x:c r="AM70" i="21"/>
  <x:c r="R72" i="21"/>
  <x:c r="S72" i="21"/>
  <x:c r="T72" i="21"/>
  <x:c r="W72" i="21"/>
  <x:c r="X72" i="21"/>
  <x:c r="Y72" i="21"/>
  <x:c r="Z72" i="21"/>
  <x:c r="AA72" i="21"/>
  <x:c r="AB72" i="21"/>
  <x:c r="AC72" i="21"/>
  <x:c r="AG72" i="21"/>
  <x:c r="AH72" i="21"/>
  <x:c r="AI72" i="21"/>
  <x:c r="AJ72" i="21"/>
  <x:c r="AK72" i="21"/>
  <x:c r="AL72" i="21"/>
  <x:c r="AM72" i="21"/>
  <x:c r="H73" i="21"/>
  <x:c r="J73" i="21"/>
  <x:c r="R73" i="21"/>
  <x:c r="S73" i="21"/>
  <x:c r="T73" i="21"/>
  <x:c r="W73" i="21"/>
  <x:c r="X73" i="21"/>
  <x:c r="Y73" i="21"/>
  <x:c r="Z73" i="21"/>
  <x:c r="AA73" i="21"/>
  <x:c r="AB73" i="21"/>
  <x:c r="AC73" i="21"/>
  <x:c r="AG73" i="21"/>
  <x:c r="AH73" i="21"/>
  <x:c r="AI73" i="21"/>
  <x:c r="AJ73" i="21"/>
  <x:c r="AK73" i="21"/>
  <x:c r="AL73" i="21"/>
  <x:c r="AM73" i="21"/>
  <x:c r="H74" i="21"/>
  <x:c r="J74" i="21"/>
  <x:c r="S74" i="21"/>
  <x:c r="T74" i="21"/>
  <x:c r="W74" i="21"/>
  <x:c r="X74" i="21"/>
  <x:c r="Y74" i="21"/>
  <x:c r="Z74" i="21"/>
  <x:c r="AA74" i="21"/>
  <x:c r="AB74" i="21"/>
  <x:c r="AC74" i="21"/>
  <x:c r="AG74" i="21"/>
  <x:c r="AH74" i="21"/>
  <x:c r="AI74" i="21"/>
  <x:c r="AJ74" i="21"/>
  <x:c r="AK74" i="21"/>
  <x:c r="AL74" i="21"/>
  <x:c r="AM74" i="21"/>
  <x:c r="H75" i="21"/>
  <x:c r="J75" i="21"/>
  <x:c r="R75" i="21"/>
  <x:c r="S75" i="21"/>
  <x:c r="T75" i="21"/>
  <x:c r="W75" i="21"/>
  <x:c r="X75" i="21"/>
  <x:c r="Y75" i="21"/>
  <x:c r="Z75" i="21"/>
  <x:c r="AA75" i="21"/>
  <x:c r="AB75" i="21"/>
  <x:c r="AC75" i="21"/>
  <x:c r="AG75" i="21"/>
  <x:c r="AH75" i="21"/>
  <x:c r="AI75" i="21"/>
  <x:c r="AJ75" i="21"/>
  <x:c r="AK75" i="21"/>
  <x:c r="AL75" i="21"/>
  <x:c r="AM75" i="21"/>
  <x:c r="R76" i="21"/>
  <x:c r="S76" i="21"/>
  <x:c r="T76" i="21"/>
  <x:c r="W76" i="21"/>
  <x:c r="X76" i="21"/>
  <x:c r="Y76" i="21"/>
  <x:c r="Z76" i="21"/>
  <x:c r="AA76" i="21"/>
  <x:c r="AB76" i="21"/>
  <x:c r="AC76" i="21"/>
  <x:c r="AG76" i="21"/>
  <x:c r="AH76" i="21"/>
  <x:c r="AI76" i="21"/>
  <x:c r="AJ76" i="21"/>
  <x:c r="AK76" i="21"/>
  <x:c r="AL76" i="21"/>
  <x:c r="AM76" i="21"/>
  <x:c r="D77" i="21"/>
  <x:c r="R77" i="21"/>
  <x:c r="S77" i="21"/>
  <x:c r="T77" i="21"/>
  <x:c r="W77" i="21"/>
  <x:c r="X77" i="21"/>
  <x:c r="Y77" i="21"/>
  <x:c r="Z77" i="21"/>
  <x:c r="AA77" i="21"/>
  <x:c r="AB77" i="21"/>
  <x:c r="AC77" i="21"/>
  <x:c r="AG77" i="21"/>
  <x:c r="AH77" i="21"/>
  <x:c r="AI77" i="21"/>
  <x:c r="AJ77" i="21"/>
  <x:c r="AK77" i="21"/>
  <x:c r="AL77" i="21"/>
  <x:c r="AM77" i="21"/>
  <x:c r="R78" i="21"/>
  <x:c r="S78" i="21"/>
  <x:c r="T78" i="21"/>
  <x:c r="W78" i="21"/>
  <x:c r="X78" i="21"/>
  <x:c r="Y78" i="21"/>
  <x:c r="Z78" i="21"/>
  <x:c r="AA78" i="21"/>
  <x:c r="AB78" i="21"/>
  <x:c r="AC78" i="21"/>
  <x:c r="AG78" i="21"/>
  <x:c r="AH78" i="21"/>
  <x:c r="AI78" i="21"/>
  <x:c r="AJ78" i="21"/>
  <x:c r="AK78" i="21"/>
  <x:c r="AL78" i="21"/>
  <x:c r="AM78" i="21"/>
  <x:c r="R79" i="21"/>
  <x:c r="S79" i="21"/>
  <x:c r="T79" i="21"/>
  <x:c r="W79" i="21"/>
  <x:c r="X79" i="21"/>
  <x:c r="Y79" i="21"/>
  <x:c r="Z79" i="21"/>
  <x:c r="AA79" i="21"/>
  <x:c r="AB79" i="21"/>
  <x:c r="AC79" i="21"/>
  <x:c r="AG79" i="21"/>
  <x:c r="AH79" i="21"/>
  <x:c r="AI79" i="21"/>
  <x:c r="AJ79" i="21"/>
  <x:c r="AK79" i="21"/>
  <x:c r="AL79" i="21"/>
  <x:c r="AM79" i="21"/>
  <x:c r="R80" i="21"/>
  <x:c r="S80" i="21"/>
  <x:c r="T80" i="21"/>
  <x:c r="W80" i="21"/>
  <x:c r="X80" i="21"/>
  <x:c r="Y80" i="21"/>
  <x:c r="Z80" i="21"/>
  <x:c r="AA80" i="21"/>
  <x:c r="AB80" i="21"/>
  <x:c r="AC80" i="21"/>
  <x:c r="AG80" i="21"/>
  <x:c r="AH80" i="21"/>
  <x:c r="AI80" i="21"/>
  <x:c r="AJ80" i="21"/>
  <x:c r="AK80" i="21"/>
  <x:c r="AL80" i="21"/>
  <x:c r="AM80" i="21"/>
  <x:c r="S82" i="21"/>
  <x:c r="T82" i="21"/>
  <x:c r="U82" i="21"/>
  <x:c r="W82" i="21"/>
  <x:c r="X82" i="21"/>
  <x:c r="Y82" i="21"/>
  <x:c r="Z82" i="21"/>
  <x:c r="AA82" i="21"/>
  <x:c r="AB82" i="21"/>
  <x:c r="AC82" i="21"/>
  <x:c r="W83" i="21"/>
  <x:c r="X83" i="21"/>
  <x:c r="Y83" i="21"/>
  <x:c r="Z83" i="21"/>
  <x:c r="AA83" i="21"/>
  <x:c r="AB83" i="21"/>
  <x:c r="AC83" i="21"/>
  <x:c r="W84" i="21"/>
  <x:c r="X84" i="21"/>
  <x:c r="Y84" i="21"/>
  <x:c r="Z84" i="21"/>
  <x:c r="AA84" i="21"/>
  <x:c r="AB84" i="21"/>
  <x:c r="AC84" i="21"/>
  <x:c r="W85" i="21"/>
  <x:c r="X85" i="21"/>
  <x:c r="Y85" i="21"/>
  <x:c r="Z85" i="21"/>
  <x:c r="AA85" i="21"/>
  <x:c r="AB85" i="21"/>
  <x:c r="AC85" i="21"/>
  <x:c r="W86" i="21"/>
  <x:c r="X86" i="21"/>
  <x:c r="Y86" i="21"/>
  <x:c r="Z86" i="21"/>
  <x:c r="AA86" i="21"/>
  <x:c r="AB86" i="21"/>
  <x:c r="AC86" i="21"/>
  <x:c r="H5" i="22"/>
  <x:c r="I5" i="22"/>
  <x:c r="J5" i="22"/>
  <x:c r="K5" i="22"/>
  <x:c r="H6" i="22"/>
  <x:c r="I6" i="22"/>
  <x:c r="J6" i="22"/>
  <x:c r="K6" i="22"/>
  <x:c r="H7" i="22"/>
  <x:c r="I7" i="22"/>
  <x:c r="J7" i="22"/>
  <x:c r="K7" i="22"/>
  <x:c r="H8" i="22"/>
  <x:c r="I8" i="22"/>
  <x:c r="J8" i="22"/>
  <x:c r="K8" i="22"/>
  <x:c r="H11" i="22"/>
  <x:c r="I11" i="22"/>
  <x:c r="J11" i="22"/>
  <x:c r="K11" i="22"/>
  <x:c r="H12" i="22"/>
  <x:c r="I12" i="22"/>
  <x:c r="J12" i="22"/>
  <x:c r="K12" i="22"/>
  <x:c r="H13" i="22"/>
  <x:c r="I13" i="22"/>
  <x:c r="J13" i="22"/>
  <x:c r="K13" i="22"/>
  <x:c r="H14" i="22"/>
  <x:c r="I14" i="22"/>
  <x:c r="J14" i="22"/>
  <x:c r="K14" i="22"/>
  <x:c r="H17" i="22"/>
  <x:c r="I17" i="22"/>
  <x:c r="J17" i="22"/>
  <x:c r="K17" i="22"/>
  <x:c r="H18" i="22"/>
  <x:c r="I18" i="22"/>
  <x:c r="J18" i="22"/>
  <x:c r="K18" i="22"/>
  <x:c r="R18" i="22"/>
  <x:c r="S18" i="22"/>
  <x:c r="T18" i="22"/>
  <x:c r="W18" i="22"/>
  <x:c r="X18" i="22"/>
  <x:c r="Y18" i="22"/>
  <x:c r="Z18" i="22"/>
  <x:c r="AA18" i="22"/>
  <x:c r="AB18" i="22"/>
  <x:c r="AC18" i="22"/>
  <x:c r="AG18" i="22"/>
  <x:c r="AH18" i="22"/>
  <x:c r="AI18" i="22"/>
  <x:c r="AJ18" i="22"/>
  <x:c r="AK18" i="22"/>
  <x:c r="AL18" i="22"/>
  <x:c r="AM18" i="22"/>
  <x:c r="H19" i="22"/>
  <x:c r="I19" i="22"/>
  <x:c r="J19" i="22"/>
  <x:c r="K19" i="22"/>
  <x:c r="R19" i="22"/>
  <x:c r="S19" i="22"/>
  <x:c r="T19" i="22"/>
  <x:c r="W19" i="22"/>
  <x:c r="X19" i="22"/>
  <x:c r="Y19" i="22"/>
  <x:c r="Z19" i="22"/>
  <x:c r="AA19" i="22"/>
  <x:c r="AB19" i="22"/>
  <x:c r="AC19" i="22"/>
  <x:c r="AG19" i="22"/>
  <x:c r="AH19" i="22"/>
  <x:c r="AI19" i="22"/>
  <x:c r="AJ19" i="22"/>
  <x:c r="AK19" i="22"/>
  <x:c r="AL19" i="22"/>
  <x:c r="AM19" i="22"/>
  <x:c r="H20" i="22"/>
  <x:c r="I20" i="22"/>
  <x:c r="J20" i="22"/>
  <x:c r="K20" i="22"/>
  <x:c r="R20" i="22"/>
  <x:c r="S20" i="22"/>
  <x:c r="T20" i="22"/>
  <x:c r="W20" i="22"/>
  <x:c r="X20" i="22"/>
  <x:c r="Y20" i="22"/>
  <x:c r="Z20" i="22"/>
  <x:c r="AA20" i="22"/>
  <x:c r="AB20" i="22"/>
  <x:c r="AC20" i="22"/>
  <x:c r="AG20" i="22"/>
  <x:c r="AH20" i="22"/>
  <x:c r="AI20" i="22"/>
  <x:c r="AJ20" i="22"/>
  <x:c r="AK20" i="22"/>
  <x:c r="AL20" i="22"/>
  <x:c r="AM20" i="22"/>
  <x:c r="R21" i="22"/>
  <x:c r="S21" i="22"/>
  <x:c r="T21" i="22"/>
  <x:c r="W21" i="22"/>
  <x:c r="X21" i="22"/>
  <x:c r="Y21" i="22"/>
  <x:c r="Z21" i="22"/>
  <x:c r="AA21" i="22"/>
  <x:c r="AB21" i="22"/>
  <x:c r="AC21" i="22"/>
  <x:c r="AG21" i="22"/>
  <x:c r="AH21" i="22"/>
  <x:c r="AI21" i="22"/>
  <x:c r="AJ21" i="22"/>
  <x:c r="AK21" i="22"/>
  <x:c r="AL21" i="22"/>
  <x:c r="AM21" i="22"/>
  <x:c r="Q22" i="22"/>
  <x:c r="R22" i="22"/>
  <x:c r="S22" i="22"/>
  <x:c r="T22" i="22"/>
  <x:c r="W22" i="22"/>
  <x:c r="X22" i="22"/>
  <x:c r="Y22" i="22"/>
  <x:c r="Z22" i="22"/>
  <x:c r="AA22" i="22"/>
  <x:c r="AB22" i="22"/>
  <x:c r="AC22" i="22"/>
  <x:c r="AG22" i="22"/>
  <x:c r="AH22" i="22"/>
  <x:c r="AI22" i="22"/>
  <x:c r="AJ22" i="22"/>
  <x:c r="AK22" i="22"/>
  <x:c r="AL22" i="22"/>
  <x:c r="AM22" i="22"/>
  <x:c r="H23" i="22"/>
  <x:c r="J23" i="22"/>
  <x:c r="R23" i="22"/>
  <x:c r="S23" i="22"/>
  <x:c r="T23" i="22"/>
  <x:c r="W23" i="22"/>
  <x:c r="X23" i="22"/>
  <x:c r="Y23" i="22"/>
  <x:c r="Z23" i="22"/>
  <x:c r="AA23" i="22"/>
  <x:c r="AB23" i="22"/>
  <x:c r="AC23" i="22"/>
  <x:c r="AG23" i="22"/>
  <x:c r="AH23" i="22"/>
  <x:c r="AI23" i="22"/>
  <x:c r="AJ23" i="22"/>
  <x:c r="AK23" i="22"/>
  <x:c r="AL23" i="22"/>
  <x:c r="AM23" i="22"/>
  <x:c r="H24" i="22"/>
  <x:c r="R24" i="22"/>
  <x:c r="S24" i="22"/>
  <x:c r="T24" i="22"/>
  <x:c r="W24" i="22"/>
  <x:c r="X24" i="22"/>
  <x:c r="Y24" i="22"/>
  <x:c r="Z24" i="22"/>
  <x:c r="AA24" i="22"/>
  <x:c r="AB24" i="22"/>
  <x:c r="AC24" i="22"/>
  <x:c r="AG24" i="22"/>
  <x:c r="AH24" i="22"/>
  <x:c r="AI24" i="22"/>
  <x:c r="AJ24" i="22"/>
  <x:c r="AK24" i="22"/>
  <x:c r="AL24" i="22"/>
  <x:c r="AM24" i="22"/>
  <x:c r="R25" i="22"/>
  <x:c r="S25" i="22"/>
  <x:c r="T25" i="22"/>
  <x:c r="W25" i="22"/>
  <x:c r="X25" i="22"/>
  <x:c r="Y25" i="22"/>
  <x:c r="Z25" i="22"/>
  <x:c r="AA25" i="22"/>
  <x:c r="AB25" i="22"/>
  <x:c r="AC25" i="22"/>
  <x:c r="AG25" i="22"/>
  <x:c r="AH25" i="22"/>
  <x:c r="AI25" i="22"/>
  <x:c r="AJ25" i="22"/>
  <x:c r="AK25" i="22"/>
  <x:c r="AL25" i="22"/>
  <x:c r="AM25" i="22"/>
  <x:c r="R26" i="22"/>
  <x:c r="S26" i="22"/>
  <x:c r="T26" i="22"/>
  <x:c r="W26" i="22"/>
  <x:c r="X26" i="22"/>
  <x:c r="Y26" i="22"/>
  <x:c r="Z26" i="22"/>
  <x:c r="AA26" i="22"/>
  <x:c r="AB26" i="22"/>
  <x:c r="AC26" i="22"/>
  <x:c r="AG26" i="22"/>
  <x:c r="AH26" i="22"/>
  <x:c r="AI26" i="22"/>
  <x:c r="AJ26" i="22"/>
  <x:c r="AK26" i="22"/>
  <x:c r="AL26" i="22"/>
  <x:c r="AM26" i="22"/>
  <x:c r="H27" i="22"/>
  <x:c r="J27" i="22"/>
  <x:c r="R28" i="22"/>
  <x:c r="S28" i="22"/>
  <x:c r="T28" i="22"/>
  <x:c r="W28" i="22"/>
  <x:c r="X28" i="22"/>
  <x:c r="Y28" i="22"/>
  <x:c r="Z28" i="22"/>
  <x:c r="AA28" i="22"/>
  <x:c r="AB28" i="22"/>
  <x:c r="AC28" i="22"/>
  <x:c r="AG28" i="22"/>
  <x:c r="AH28" i="22"/>
  <x:c r="AI28" i="22"/>
  <x:c r="AJ28" i="22"/>
  <x:c r="AK28" i="22"/>
  <x:c r="AL28" i="22"/>
  <x:c r="AM28" i="22"/>
  <x:c r="R29" i="22"/>
  <x:c r="S29" i="22"/>
  <x:c r="T29" i="22"/>
  <x:c r="W29" i="22"/>
  <x:c r="X29" i="22"/>
  <x:c r="Y29" i="22"/>
  <x:c r="Z29" i="22"/>
  <x:c r="AA29" i="22"/>
  <x:c r="AB29" i="22"/>
  <x:c r="AC29" i="22"/>
  <x:c r="AG29" i="22"/>
  <x:c r="AH29" i="22"/>
  <x:c r="AI29" i="22"/>
  <x:c r="AJ29" i="22"/>
  <x:c r="AK29" i="22"/>
  <x:c r="AL29" i="22"/>
  <x:c r="AM29" i="22"/>
  <x:c r="H30" i="22"/>
  <x:c r="J30" i="22"/>
  <x:c r="S30" i="22"/>
  <x:c r="T30" i="22"/>
  <x:c r="W30" i="22"/>
  <x:c r="X30" i="22"/>
  <x:c r="Y30" i="22"/>
  <x:c r="Z30" i="22"/>
  <x:c r="AA30" i="22"/>
  <x:c r="AB30" i="22"/>
  <x:c r="AC30" i="22"/>
  <x:c r="AG30" i="22"/>
  <x:c r="AH30" i="22"/>
  <x:c r="AI30" i="22"/>
  <x:c r="AJ30" i="22"/>
  <x:c r="AK30" i="22"/>
  <x:c r="AL30" i="22"/>
  <x:c r="AM30" i="22"/>
  <x:c r="R31" i="22"/>
  <x:c r="S31" i="22"/>
  <x:c r="T31" i="22"/>
  <x:c r="W31" i="22"/>
  <x:c r="X31" i="22"/>
  <x:c r="Y31" i="22"/>
  <x:c r="Z31" i="22"/>
  <x:c r="AA31" i="22"/>
  <x:c r="AB31" i="22"/>
  <x:c r="AC31" i="22"/>
  <x:c r="AG31" i="22"/>
  <x:c r="AH31" i="22"/>
  <x:c r="AI31" i="22"/>
  <x:c r="AJ31" i="22"/>
  <x:c r="AK31" i="22"/>
  <x:c r="AL31" i="22"/>
  <x:c r="AM31" i="22"/>
  <x:c r="R32" i="22"/>
  <x:c r="S32" i="22"/>
  <x:c r="T32" i="22"/>
  <x:c r="W32" i="22"/>
  <x:c r="X32" i="22"/>
  <x:c r="Y32" i="22"/>
  <x:c r="Z32" i="22"/>
  <x:c r="AA32" i="22"/>
  <x:c r="AB32" i="22"/>
  <x:c r="AC32" i="22"/>
  <x:c r="AG32" i="22"/>
  <x:c r="AH32" i="22"/>
  <x:c r="AI32" i="22"/>
  <x:c r="AJ32" i="22"/>
  <x:c r="AK32" i="22"/>
  <x:c r="AL32" i="22"/>
  <x:c r="AM32" i="22"/>
  <x:c r="H33" i="22"/>
  <x:c r="R33" i="22"/>
  <x:c r="S33" i="22"/>
  <x:c r="T33" i="22"/>
  <x:c r="W33" i="22"/>
  <x:c r="X33" i="22"/>
  <x:c r="Y33" i="22"/>
  <x:c r="Z33" i="22"/>
  <x:c r="AA33" i="22"/>
  <x:c r="AB33" i="22"/>
  <x:c r="AC33" i="22"/>
  <x:c r="AG33" i="22"/>
  <x:c r="AH33" i="22"/>
  <x:c r="AI33" i="22"/>
  <x:c r="AJ33" i="22"/>
  <x:c r="AK33" i="22"/>
  <x:c r="AL33" i="22"/>
  <x:c r="AM33" i="22"/>
  <x:c r="R34" i="22"/>
  <x:c r="S34" i="22"/>
  <x:c r="T34" i="22"/>
  <x:c r="W34" i="22"/>
  <x:c r="X34" i="22"/>
  <x:c r="Y34" i="22"/>
  <x:c r="Z34" i="22"/>
  <x:c r="AA34" i="22"/>
  <x:c r="AB34" i="22"/>
  <x:c r="AC34" i="22"/>
  <x:c r="AG34" i="22"/>
  <x:c r="AH34" i="22"/>
  <x:c r="AI34" i="22"/>
  <x:c r="AJ34" i="22"/>
  <x:c r="AK34" i="22"/>
  <x:c r="AL34" i="22"/>
  <x:c r="AM34" i="22"/>
  <x:c r="R35" i="22"/>
  <x:c r="S35" i="22"/>
  <x:c r="T35" i="22"/>
  <x:c r="W35" i="22"/>
  <x:c r="X35" i="22"/>
  <x:c r="Y35" i="22"/>
  <x:c r="Z35" i="22"/>
  <x:c r="AA35" i="22"/>
  <x:c r="AB35" i="22"/>
  <x:c r="AC35" i="22"/>
  <x:c r="AG35" i="22"/>
  <x:c r="AH35" i="22"/>
  <x:c r="AI35" i="22"/>
  <x:c r="AJ35" i="22"/>
  <x:c r="AK35" i="22"/>
  <x:c r="AL35" i="22"/>
  <x:c r="AM35" i="22"/>
  <x:c r="H36" i="22"/>
  <x:c r="I36" i="22"/>
  <x:c r="J36" i="22"/>
  <x:c r="K36" i="22"/>
  <x:c r="R36" i="22"/>
  <x:c r="S36" i="22"/>
  <x:c r="T36" i="22"/>
  <x:c r="W36" i="22"/>
  <x:c r="X36" i="22"/>
  <x:c r="Y36" i="22"/>
  <x:c r="Z36" i="22"/>
  <x:c r="AA36" i="22"/>
  <x:c r="AB36" i="22"/>
  <x:c r="AC36" i="22"/>
  <x:c r="AG36" i="22"/>
  <x:c r="AH36" i="22"/>
  <x:c r="AI36" i="22"/>
  <x:c r="AJ36" i="22"/>
  <x:c r="AK36" i="22"/>
  <x:c r="AL36" i="22"/>
  <x:c r="AM36" i="22"/>
  <x:c r="H37" i="22"/>
  <x:c r="I37" i="22"/>
  <x:c r="J37" i="22"/>
  <x:c r="K37" i="22"/>
  <x:c r="H38" i="22"/>
  <x:c r="I38" i="22"/>
  <x:c r="J38" i="22"/>
  <x:c r="K38" i="22"/>
  <x:c r="S38" i="22"/>
  <x:c r="T38" i="22"/>
  <x:c r="U38" i="22"/>
  <x:c r="W38" i="22"/>
  <x:c r="X38" i="22"/>
  <x:c r="Y38" i="22"/>
  <x:c r="Z38" i="22"/>
  <x:c r="AA38" i="22"/>
  <x:c r="AB38" i="22"/>
  <x:c r="AC38" i="22"/>
  <x:c r="H39" i="22"/>
  <x:c r="I39" i="22"/>
  <x:c r="J39" i="22"/>
  <x:c r="K39" i="22"/>
  <x:c r="W39" i="22"/>
  <x:c r="X39" i="22"/>
  <x:c r="Y39" i="22"/>
  <x:c r="Z39" i="22"/>
  <x:c r="AA39" i="22"/>
  <x:c r="AB39" i="22"/>
  <x:c r="AC39" i="22"/>
  <x:c r="H40" i="22"/>
  <x:c r="I40" i="22"/>
  <x:c r="J40" i="22"/>
  <x:c r="K40" i="22"/>
  <x:c r="W40" i="22"/>
  <x:c r="X40" i="22"/>
  <x:c r="Y40" i="22"/>
  <x:c r="Z40" i="22"/>
  <x:c r="AA40" i="22"/>
  <x:c r="AB40" i="22"/>
  <x:c r="AC40" i="22"/>
  <x:c r="H41" i="22"/>
  <x:c r="I41" i="22"/>
  <x:c r="J41" i="22"/>
  <x:c r="K41" i="22"/>
  <x:c r="W41" i="22"/>
  <x:c r="X41" i="22"/>
  <x:c r="Y41" i="22"/>
  <x:c r="Z41" i="22"/>
  <x:c r="AA41" i="22"/>
  <x:c r="AB41" i="22"/>
  <x:c r="AC41" i="22"/>
  <x:c r="H42" i="22"/>
  <x:c r="I42" i="22"/>
  <x:c r="J42" i="22"/>
  <x:c r="K42" i="22"/>
  <x:c r="W42" i="22"/>
  <x:c r="X42" i="22"/>
  <x:c r="Y42" i="22"/>
  <x:c r="Z42" i="22"/>
  <x:c r="AA42" i="22"/>
  <x:c r="AB42" i="22"/>
  <x:c r="AC42" i="22"/>
  <x:c r="H43" i="22"/>
  <x:c r="I43" i="22"/>
  <x:c r="J43" i="22"/>
  <x:c r="K43" i="22"/>
  <x:c r="H44" i="22"/>
  <x:c r="I44" i="22"/>
  <x:c r="J44" i="22"/>
  <x:c r="K44" i="22"/>
  <x:c r="H45" i="22"/>
  <x:c r="I45" i="22"/>
  <x:c r="J45" i="22"/>
  <x:c r="K45" i="22"/>
  <x:c r="H46" i="22"/>
  <x:c r="I46" i="22"/>
  <x:c r="J46" i="22"/>
  <x:c r="K46" i="22"/>
  <x:c r="H47" i="22"/>
  <x:c r="I47" i="22"/>
  <x:c r="J47" i="22"/>
  <x:c r="K47" i="22"/>
  <x:c r="H48" i="22"/>
  <x:c r="I48" i="22"/>
  <x:c r="J48" i="22"/>
  <x:c r="K48" i="22"/>
  <x:c r="H49" i="22"/>
  <x:c r="I49" i="22"/>
  <x:c r="J49" i="22"/>
  <x:c r="K49" i="22"/>
  <x:c r="H50" i="22"/>
  <x:c r="I50" i="22"/>
  <x:c r="J50" i="22"/>
  <x:c r="K50" i="22"/>
  <x:c r="H53" i="22"/>
  <x:c r="I53" i="22"/>
  <x:c r="J53" i="22"/>
  <x:c r="K53" i="22"/>
  <x:c r="H54" i="22"/>
  <x:c r="I54" i="22"/>
  <x:c r="J54" i="22"/>
  <x:c r="K54" i="22"/>
  <x:c r="H55" i="22"/>
  <x:c r="I55" i="22"/>
  <x:c r="J55" i="22"/>
  <x:c r="K55" i="22"/>
  <x:c r="H56" i="22"/>
  <x:c r="I56" i="22"/>
  <x:c r="J56" i="22"/>
  <x:c r="K56" i="22"/>
  <x:c r="H57" i="22"/>
  <x:c r="I57" i="22"/>
  <x:c r="J57" i="22"/>
  <x:c r="K57" i="22"/>
  <x:c r="H58" i="22"/>
  <x:c r="I58" i="22"/>
  <x:c r="J58" i="22"/>
  <x:c r="K58" i="22"/>
  <x:c r="H59" i="22"/>
  <x:c r="I59" i="22"/>
  <x:c r="J59" i="22"/>
  <x:c r="K59" i="22"/>
  <x:c r="H60" i="22"/>
  <x:c r="I60" i="22"/>
  <x:c r="J60" i="22"/>
  <x:c r="K60" i="22"/>
  <x:c r="H61" i="22"/>
  <x:c r="I61" i="22"/>
  <x:c r="J61" i="22"/>
  <x:c r="K61" i="22"/>
  <x:c r="H62" i="22"/>
  <x:c r="I62" i="22"/>
  <x:c r="J62" i="22"/>
  <x:c r="K62" i="22"/>
  <x:c r="R62" i="22"/>
  <x:c r="S62" i="22"/>
  <x:c r="T62" i="22"/>
  <x:c r="W62" i="22"/>
  <x:c r="X62" i="22"/>
  <x:c r="Y62" i="22"/>
  <x:c r="Z62" i="22"/>
  <x:c r="AA62" i="22"/>
  <x:c r="AB62" i="22"/>
  <x:c r="AC62" i="22"/>
  <x:c r="AG62" i="22"/>
  <x:c r="AH62" i="22"/>
  <x:c r="AI62" i="22"/>
  <x:c r="AJ62" i="22"/>
  <x:c r="AK62" i="22"/>
  <x:c r="AL62" i="22"/>
  <x:c r="AM62" i="22"/>
  <x:c r="H63" i="22"/>
  <x:c r="I63" i="22"/>
  <x:c r="J63" i="22"/>
  <x:c r="K63" i="22"/>
  <x:c r="R63" i="22"/>
  <x:c r="S63" i="22"/>
  <x:c r="T63" i="22"/>
  <x:c r="W63" i="22"/>
  <x:c r="X63" i="22"/>
  <x:c r="Y63" i="22"/>
  <x:c r="Z63" i="22"/>
  <x:c r="AA63" i="22"/>
  <x:c r="AB63" i="22"/>
  <x:c r="AC63" i="22"/>
  <x:c r="AG63" i="22"/>
  <x:c r="AH63" i="22"/>
  <x:c r="AI63" i="22"/>
  <x:c r="AJ63" i="22"/>
  <x:c r="AK63" i="22"/>
  <x:c r="AL63" i="22"/>
  <x:c r="AM63" i="22"/>
  <x:c r="H64" i="22"/>
  <x:c r="I64" i="22"/>
  <x:c r="J64" i="22"/>
  <x:c r="K64" i="22"/>
  <x:c r="R64" i="22"/>
  <x:c r="S64" i="22"/>
  <x:c r="T64" i="22"/>
  <x:c r="W64" i="22"/>
  <x:c r="X64" i="22"/>
  <x:c r="Y64" i="22"/>
  <x:c r="Z64" i="22"/>
  <x:c r="AA64" i="22"/>
  <x:c r="AB64" i="22"/>
  <x:c r="AC64" i="22"/>
  <x:c r="AG64" i="22"/>
  <x:c r="AH64" i="22"/>
  <x:c r="AI64" i="22"/>
  <x:c r="AJ64" i="22"/>
  <x:c r="AK64" i="22"/>
  <x:c r="AL64" i="22"/>
  <x:c r="AM64" i="22"/>
  <x:c r="H65" i="22"/>
  <x:c r="I65" i="22"/>
  <x:c r="J65" i="22"/>
  <x:c r="K65" i="22"/>
  <x:c r="R65" i="22"/>
  <x:c r="S65" i="22"/>
  <x:c r="T65" i="22"/>
  <x:c r="W65" i="22"/>
  <x:c r="X65" i="22"/>
  <x:c r="Y65" i="22"/>
  <x:c r="Z65" i="22"/>
  <x:c r="AA65" i="22"/>
  <x:c r="AB65" i="22"/>
  <x:c r="AC65" i="22"/>
  <x:c r="AG65" i="22"/>
  <x:c r="AH65" i="22"/>
  <x:c r="AI65" i="22"/>
  <x:c r="AJ65" i="22"/>
  <x:c r="AK65" i="22"/>
  <x:c r="AL65" i="22"/>
  <x:c r="AM65" i="22"/>
  <x:c r="H66" i="22"/>
  <x:c r="I66" i="22"/>
  <x:c r="J66" i="22"/>
  <x:c r="K66" i="22"/>
  <x:c r="Q66" i="22"/>
  <x:c r="R66" i="22"/>
  <x:c r="S66" i="22"/>
  <x:c r="T66" i="22"/>
  <x:c r="W66" i="22"/>
  <x:c r="X66" i="22"/>
  <x:c r="Y66" i="22"/>
  <x:c r="Z66" i="22"/>
  <x:c r="AA66" i="22"/>
  <x:c r="AB66" i="22"/>
  <x:c r="AC66" i="22"/>
  <x:c r="AG66" i="22"/>
  <x:c r="AH66" i="22"/>
  <x:c r="AI66" i="22"/>
  <x:c r="AJ66" i="22"/>
  <x:c r="AK66" i="22"/>
  <x:c r="AL66" i="22"/>
  <x:c r="AM66" i="22"/>
  <x:c r="H67" i="22"/>
  <x:c r="I67" i="22"/>
  <x:c r="J67" i="22"/>
  <x:c r="K67" i="22"/>
  <x:c r="R67" i="22"/>
  <x:c r="S67" i="22"/>
  <x:c r="T67" i="22"/>
  <x:c r="W67" i="22"/>
  <x:c r="X67" i="22"/>
  <x:c r="Y67" i="22"/>
  <x:c r="Z67" i="22"/>
  <x:c r="AA67" i="22"/>
  <x:c r="AB67" i="22"/>
  <x:c r="AC67" i="22"/>
  <x:c r="AG67" i="22"/>
  <x:c r="AH67" i="22"/>
  <x:c r="AI67" i="22"/>
  <x:c r="AJ67" i="22"/>
  <x:c r="AK67" i="22"/>
  <x:c r="AL67" i="22"/>
  <x:c r="AM67" i="22"/>
  <x:c r="R68" i="22"/>
  <x:c r="S68" i="22"/>
  <x:c r="T68" i="22"/>
  <x:c r="W68" i="22"/>
  <x:c r="X68" i="22"/>
  <x:c r="Y68" i="22"/>
  <x:c r="Z68" i="22"/>
  <x:c r="AA68" i="22"/>
  <x:c r="AB68" i="22"/>
  <x:c r="AC68" i="22"/>
  <x:c r="AG68" i="22"/>
  <x:c r="AH68" i="22"/>
  <x:c r="AI68" i="22"/>
  <x:c r="AJ68" i="22"/>
  <x:c r="AK68" i="22"/>
  <x:c r="AL68" i="22"/>
  <x:c r="AM68" i="22"/>
  <x:c r="R69" i="22"/>
  <x:c r="S69" i="22"/>
  <x:c r="T69" i="22"/>
  <x:c r="W69" i="22"/>
  <x:c r="X69" i="22"/>
  <x:c r="Y69" i="22"/>
  <x:c r="Z69" i="22"/>
  <x:c r="AA69" i="22"/>
  <x:c r="AB69" i="22"/>
  <x:c r="AC69" i="22"/>
  <x:c r="AG69" i="22"/>
  <x:c r="AH69" i="22"/>
  <x:c r="AI69" i="22"/>
  <x:c r="AJ69" i="22"/>
  <x:c r="AK69" i="22"/>
  <x:c r="AL69" i="22"/>
  <x:c r="AM69" i="22"/>
  <x:c r="H70" i="22"/>
  <x:c r="J70" i="22"/>
  <x:c r="R70" i="22"/>
  <x:c r="S70" i="22"/>
  <x:c r="T70" i="22"/>
  <x:c r="W70" i="22"/>
  <x:c r="X70" i="22"/>
  <x:c r="Y70" i="22"/>
  <x:c r="Z70" i="22"/>
  <x:c r="AA70" i="22"/>
  <x:c r="AB70" i="22"/>
  <x:c r="AC70" i="22"/>
  <x:c r="AG70" i="22"/>
  <x:c r="AH70" i="22"/>
  <x:c r="AI70" i="22"/>
  <x:c r="AJ70" i="22"/>
  <x:c r="AK70" i="22"/>
  <x:c r="AL70" i="22"/>
  <x:c r="AM70" i="22"/>
  <x:c r="R72" i="22"/>
  <x:c r="S72" i="22"/>
  <x:c r="T72" i="22"/>
  <x:c r="W72" i="22"/>
  <x:c r="X72" i="22"/>
  <x:c r="Y72" i="22"/>
  <x:c r="Z72" i="22"/>
  <x:c r="AA72" i="22"/>
  <x:c r="AB72" i="22"/>
  <x:c r="AC72" i="22"/>
  <x:c r="AG72" i="22"/>
  <x:c r="AH72" i="22"/>
  <x:c r="AI72" i="22"/>
  <x:c r="AJ72" i="22"/>
  <x:c r="AK72" i="22"/>
  <x:c r="AL72" i="22"/>
  <x:c r="AM72" i="22"/>
  <x:c r="H73" i="22"/>
  <x:c r="J73" i="22"/>
  <x:c r="R73" i="22"/>
  <x:c r="S73" i="22"/>
  <x:c r="T73" i="22"/>
  <x:c r="W73" i="22"/>
  <x:c r="X73" i="22"/>
  <x:c r="Y73" i="22"/>
  <x:c r="Z73" i="22"/>
  <x:c r="AA73" i="22"/>
  <x:c r="AB73" i="22"/>
  <x:c r="AC73" i="22"/>
  <x:c r="AG73" i="22"/>
  <x:c r="AH73" i="22"/>
  <x:c r="AI73" i="22"/>
  <x:c r="AJ73" i="22"/>
  <x:c r="AK73" i="22"/>
  <x:c r="AL73" i="22"/>
  <x:c r="AM73" i="22"/>
  <x:c r="H74" i="22"/>
  <x:c r="J74" i="22"/>
  <x:c r="S74" i="22"/>
  <x:c r="T74" i="22"/>
  <x:c r="W74" i="22"/>
  <x:c r="X74" i="22"/>
  <x:c r="Y74" i="22"/>
  <x:c r="Z74" i="22"/>
  <x:c r="AA74" i="22"/>
  <x:c r="AB74" i="22"/>
  <x:c r="AC74" i="22"/>
  <x:c r="AG74" i="22"/>
  <x:c r="AH74" i="22"/>
  <x:c r="AI74" i="22"/>
  <x:c r="AJ74" i="22"/>
  <x:c r="AK74" i="22"/>
  <x:c r="AL74" i="22"/>
  <x:c r="AM74" i="22"/>
  <x:c r="H75" i="22"/>
  <x:c r="J75" i="22"/>
  <x:c r="R75" i="22"/>
  <x:c r="S75" i="22"/>
  <x:c r="T75" i="22"/>
  <x:c r="W75" i="22"/>
  <x:c r="X75" i="22"/>
  <x:c r="Y75" i="22"/>
  <x:c r="Z75" i="22"/>
  <x:c r="AA75" i="22"/>
  <x:c r="AB75" i="22"/>
  <x:c r="AC75" i="22"/>
  <x:c r="AG75" i="22"/>
  <x:c r="AH75" i="22"/>
  <x:c r="AI75" i="22"/>
  <x:c r="AJ75" i="22"/>
  <x:c r="AK75" i="22"/>
  <x:c r="AL75" i="22"/>
  <x:c r="AM75" i="22"/>
  <x:c r="R76" i="22"/>
  <x:c r="S76" i="22"/>
  <x:c r="T76" i="22"/>
  <x:c r="W76" i="22"/>
  <x:c r="X76" i="22"/>
  <x:c r="Y76" i="22"/>
  <x:c r="Z76" i="22"/>
  <x:c r="AA76" i="22"/>
  <x:c r="AB76" i="22"/>
  <x:c r="AC76" i="22"/>
  <x:c r="AG76" i="22"/>
  <x:c r="AH76" i="22"/>
  <x:c r="AI76" i="22"/>
  <x:c r="AJ76" i="22"/>
  <x:c r="AK76" i="22"/>
  <x:c r="AL76" i="22"/>
  <x:c r="AM76" i="22"/>
  <x:c r="D77" i="22"/>
  <x:c r="R77" i="22"/>
  <x:c r="S77" i="22"/>
  <x:c r="T77" i="22"/>
  <x:c r="W77" i="22"/>
  <x:c r="X77" i="22"/>
  <x:c r="Y77" i="22"/>
  <x:c r="Z77" i="22"/>
  <x:c r="AA77" i="22"/>
  <x:c r="AB77" i="22"/>
  <x:c r="AC77" i="22"/>
  <x:c r="AG77" i="22"/>
  <x:c r="AH77" i="22"/>
  <x:c r="AI77" i="22"/>
  <x:c r="AJ77" i="22"/>
  <x:c r="AK77" i="22"/>
  <x:c r="AL77" i="22"/>
  <x:c r="AM77" i="22"/>
  <x:c r="R78" i="22"/>
  <x:c r="S78" i="22"/>
  <x:c r="T78" i="22"/>
  <x:c r="W78" i="22"/>
  <x:c r="X78" i="22"/>
  <x:c r="Y78" i="22"/>
  <x:c r="Z78" i="22"/>
  <x:c r="AA78" i="22"/>
  <x:c r="AB78" i="22"/>
  <x:c r="AC78" i="22"/>
  <x:c r="AG78" i="22"/>
  <x:c r="AH78" i="22"/>
  <x:c r="AI78" i="22"/>
  <x:c r="AJ78" i="22"/>
  <x:c r="AK78" i="22"/>
  <x:c r="AL78" i="22"/>
  <x:c r="AM78" i="22"/>
  <x:c r="R79" i="22"/>
  <x:c r="S79" i="22"/>
  <x:c r="T79" i="22"/>
  <x:c r="W79" i="22"/>
  <x:c r="X79" i="22"/>
  <x:c r="Y79" i="22"/>
  <x:c r="Z79" i="22"/>
  <x:c r="AA79" i="22"/>
  <x:c r="AB79" i="22"/>
  <x:c r="AC79" i="22"/>
  <x:c r="AG79" i="22"/>
  <x:c r="AH79" i="22"/>
  <x:c r="AI79" i="22"/>
  <x:c r="AJ79" i="22"/>
  <x:c r="AK79" i="22"/>
  <x:c r="AL79" i="22"/>
  <x:c r="AM79" i="22"/>
  <x:c r="R80" i="22"/>
  <x:c r="S80" i="22"/>
  <x:c r="T80" i="22"/>
  <x:c r="W80" i="22"/>
  <x:c r="X80" i="22"/>
  <x:c r="Y80" i="22"/>
  <x:c r="Z80" i="22"/>
  <x:c r="AA80" i="22"/>
  <x:c r="AB80" i="22"/>
  <x:c r="AC80" i="22"/>
  <x:c r="AG80" i="22"/>
  <x:c r="AH80" i="22"/>
  <x:c r="AI80" i="22"/>
  <x:c r="AJ80" i="22"/>
  <x:c r="AK80" i="22"/>
  <x:c r="AL80" i="22"/>
  <x:c r="AM80" i="22"/>
  <x:c r="S82" i="22"/>
  <x:c r="T82" i="22"/>
  <x:c r="U82" i="22"/>
  <x:c r="W82" i="22"/>
  <x:c r="X82" i="22"/>
  <x:c r="Y82" i="22"/>
  <x:c r="Z82" i="22"/>
  <x:c r="AA82" i="22"/>
  <x:c r="AB82" i="22"/>
  <x:c r="AC82" i="22"/>
  <x:c r="W83" i="22"/>
  <x:c r="X83" i="22"/>
  <x:c r="Y83" i="22"/>
  <x:c r="Z83" i="22"/>
  <x:c r="AA83" i="22"/>
  <x:c r="AB83" i="22"/>
  <x:c r="AC83" i="22"/>
  <x:c r="W84" i="22"/>
  <x:c r="X84" i="22"/>
  <x:c r="Y84" i="22"/>
  <x:c r="Z84" i="22"/>
  <x:c r="AA84" i="22"/>
  <x:c r="AB84" i="22"/>
  <x:c r="AC84" i="22"/>
  <x:c r="W85" i="22"/>
  <x:c r="X85" i="22"/>
  <x:c r="Y85" i="22"/>
  <x:c r="Z85" i="22"/>
  <x:c r="AA85" i="22"/>
  <x:c r="AB85" i="22"/>
  <x:c r="AC85" i="22"/>
  <x:c r="W86" i="22"/>
  <x:c r="X86" i="22"/>
  <x:c r="Y86" i="22"/>
  <x:c r="Z86" i="22"/>
  <x:c r="AA86" i="22"/>
  <x:c r="AB86" i="22"/>
  <x:c r="AC86" i="22"/>
  <x:c r="H5" i="23"/>
  <x:c r="I5" i="23"/>
  <x:c r="J5" i="23"/>
  <x:c r="K5" i="23"/>
  <x:c r="H6" i="23"/>
  <x:c r="I6" i="23"/>
  <x:c r="J6" i="23"/>
  <x:c r="K6" i="23"/>
  <x:c r="H7" i="23"/>
  <x:c r="I7" i="23"/>
  <x:c r="J7" i="23"/>
  <x:c r="K7" i="23"/>
  <x:c r="H8" i="23"/>
  <x:c r="I8" i="23"/>
  <x:c r="J8" i="23"/>
  <x:c r="K8" i="23"/>
  <x:c r="H11" i="23"/>
  <x:c r="I11" i="23"/>
  <x:c r="J11" i="23"/>
  <x:c r="K11" i="23"/>
  <x:c r="H12" i="23"/>
  <x:c r="I12" i="23"/>
  <x:c r="J12" i="23"/>
  <x:c r="K12" i="23"/>
  <x:c r="H13" i="23"/>
  <x:c r="I13" i="23"/>
  <x:c r="J13" i="23"/>
  <x:c r="K13" i="23"/>
  <x:c r="H14" i="23"/>
  <x:c r="I14" i="23"/>
  <x:c r="J14" i="23"/>
  <x:c r="K14" i="23"/>
  <x:c r="H17" i="23"/>
  <x:c r="I17" i="23"/>
  <x:c r="J17" i="23"/>
  <x:c r="K17" i="23"/>
  <x:c r="H18" i="23"/>
  <x:c r="I18" i="23"/>
  <x:c r="J18" i="23"/>
  <x:c r="K18" i="23"/>
  <x:c r="R18" i="23"/>
  <x:c r="S18" i="23"/>
  <x:c r="T18" i="23"/>
  <x:c r="W18" i="23"/>
  <x:c r="X18" i="23"/>
  <x:c r="Y18" i="23"/>
  <x:c r="Z18" i="23"/>
  <x:c r="AA18" i="23"/>
  <x:c r="AB18" i="23"/>
  <x:c r="AC18" i="23"/>
  <x:c r="AG18" i="23"/>
  <x:c r="AH18" i="23"/>
  <x:c r="AI18" i="23"/>
  <x:c r="AJ18" i="23"/>
  <x:c r="AK18" i="23"/>
  <x:c r="AL18" i="23"/>
  <x:c r="AM18" i="23"/>
  <x:c r="H19" i="23"/>
  <x:c r="I19" i="23"/>
  <x:c r="J19" i="23"/>
  <x:c r="K19" i="23"/>
  <x:c r="R19" i="23"/>
  <x:c r="S19" i="23"/>
  <x:c r="T19" i="23"/>
  <x:c r="W19" i="23"/>
  <x:c r="X19" i="23"/>
  <x:c r="Y19" i="23"/>
  <x:c r="Z19" i="23"/>
  <x:c r="AA19" i="23"/>
  <x:c r="AB19" i="23"/>
  <x:c r="AC19" i="23"/>
  <x:c r="AG19" i="23"/>
  <x:c r="AH19" i="23"/>
  <x:c r="AI19" i="23"/>
  <x:c r="AJ19" i="23"/>
  <x:c r="AK19" i="23"/>
  <x:c r="AL19" i="23"/>
  <x:c r="AM19" i="23"/>
  <x:c r="H20" i="23"/>
  <x:c r="I20" i="23"/>
  <x:c r="J20" i="23"/>
  <x:c r="K20" i="23"/>
  <x:c r="R20" i="23"/>
  <x:c r="S20" i="23"/>
  <x:c r="T20" i="23"/>
  <x:c r="W20" i="23"/>
  <x:c r="X20" i="23"/>
  <x:c r="Y20" i="23"/>
  <x:c r="Z20" i="23"/>
  <x:c r="AA20" i="23"/>
  <x:c r="AB20" i="23"/>
  <x:c r="AC20" i="23"/>
  <x:c r="AG20" i="23"/>
  <x:c r="AH20" i="23"/>
  <x:c r="AI20" i="23"/>
  <x:c r="AJ20" i="23"/>
  <x:c r="AK20" i="23"/>
  <x:c r="AL20" i="23"/>
  <x:c r="AM20" i="23"/>
  <x:c r="R21" i="23"/>
  <x:c r="S21" i="23"/>
  <x:c r="T21" i="23"/>
  <x:c r="W21" i="23"/>
  <x:c r="X21" i="23"/>
  <x:c r="Y21" i="23"/>
  <x:c r="Z21" i="23"/>
  <x:c r="AA21" i="23"/>
  <x:c r="AB21" i="23"/>
  <x:c r="AC21" i="23"/>
  <x:c r="AG21" i="23"/>
  <x:c r="AH21" i="23"/>
  <x:c r="AI21" i="23"/>
  <x:c r="AJ21" i="23"/>
  <x:c r="AK21" i="23"/>
  <x:c r="AL21" i="23"/>
  <x:c r="AM21" i="23"/>
  <x:c r="Q22" i="23"/>
  <x:c r="R22" i="23"/>
  <x:c r="S22" i="23"/>
  <x:c r="T22" i="23"/>
  <x:c r="W22" i="23"/>
  <x:c r="X22" i="23"/>
  <x:c r="Y22" i="23"/>
  <x:c r="Z22" i="23"/>
  <x:c r="AA22" i="23"/>
  <x:c r="AB22" i="23"/>
  <x:c r="AC22" i="23"/>
  <x:c r="AG22" i="23"/>
  <x:c r="AH22" i="23"/>
  <x:c r="AI22" i="23"/>
  <x:c r="AJ22" i="23"/>
  <x:c r="AK22" i="23"/>
  <x:c r="AL22" i="23"/>
  <x:c r="AM22" i="23"/>
  <x:c r="H23" i="23"/>
  <x:c r="J23" i="23"/>
  <x:c r="R23" i="23"/>
  <x:c r="S23" i="23"/>
  <x:c r="T23" i="23"/>
  <x:c r="W23" i="23"/>
  <x:c r="X23" i="23"/>
  <x:c r="Y23" i="23"/>
  <x:c r="Z23" i="23"/>
  <x:c r="AA23" i="23"/>
  <x:c r="AB23" i="23"/>
  <x:c r="AC23" i="23"/>
  <x:c r="AG23" i="23"/>
  <x:c r="AH23" i="23"/>
  <x:c r="AI23" i="23"/>
  <x:c r="AJ23" i="23"/>
  <x:c r="AK23" i="23"/>
  <x:c r="AL23" i="23"/>
  <x:c r="AM23" i="23"/>
  <x:c r="H24" i="23"/>
  <x:c r="R24" i="23"/>
  <x:c r="S24" i="23"/>
  <x:c r="T24" i="23"/>
  <x:c r="W24" i="23"/>
  <x:c r="X24" i="23"/>
  <x:c r="Y24" i="23"/>
  <x:c r="Z24" i="23"/>
  <x:c r="AA24" i="23"/>
  <x:c r="AB24" i="23"/>
  <x:c r="AC24" i="23"/>
  <x:c r="AG24" i="23"/>
  <x:c r="AH24" i="23"/>
  <x:c r="AI24" i="23"/>
  <x:c r="AJ24" i="23"/>
  <x:c r="AK24" i="23"/>
  <x:c r="AL24" i="23"/>
  <x:c r="AM24" i="23"/>
  <x:c r="R25" i="23"/>
  <x:c r="S25" i="23"/>
  <x:c r="T25" i="23"/>
  <x:c r="W25" i="23"/>
  <x:c r="X25" i="23"/>
  <x:c r="Y25" i="23"/>
  <x:c r="Z25" i="23"/>
  <x:c r="AA25" i="23"/>
  <x:c r="AB25" i="23"/>
  <x:c r="AC25" i="23"/>
  <x:c r="AG25" i="23"/>
  <x:c r="AH25" i="23"/>
  <x:c r="AI25" i="23"/>
  <x:c r="AJ25" i="23"/>
  <x:c r="AK25" i="23"/>
  <x:c r="AL25" i="23"/>
  <x:c r="AM25" i="23"/>
  <x:c r="R26" i="23"/>
  <x:c r="S26" i="23"/>
  <x:c r="T26" i="23"/>
  <x:c r="W26" i="23"/>
  <x:c r="X26" i="23"/>
  <x:c r="Y26" i="23"/>
  <x:c r="Z26" i="23"/>
  <x:c r="AA26" i="23"/>
  <x:c r="AB26" i="23"/>
  <x:c r="AC26" i="23"/>
  <x:c r="AG26" i="23"/>
  <x:c r="AH26" i="23"/>
  <x:c r="AI26" i="23"/>
  <x:c r="AJ26" i="23"/>
  <x:c r="AK26" i="23"/>
  <x:c r="AL26" i="23"/>
  <x:c r="AM26" i="23"/>
  <x:c r="H27" i="23"/>
  <x:c r="J27" i="23"/>
  <x:c r="R28" i="23"/>
  <x:c r="S28" i="23"/>
  <x:c r="T28" i="23"/>
  <x:c r="W28" i="23"/>
  <x:c r="X28" i="23"/>
  <x:c r="Y28" i="23"/>
  <x:c r="Z28" i="23"/>
  <x:c r="AA28" i="23"/>
  <x:c r="AB28" i="23"/>
  <x:c r="AC28" i="23"/>
  <x:c r="AG28" i="23"/>
  <x:c r="AH28" i="23"/>
  <x:c r="AI28" i="23"/>
  <x:c r="AJ28" i="23"/>
  <x:c r="AK28" i="23"/>
  <x:c r="AL28" i="23"/>
  <x:c r="AM28" i="23"/>
  <x:c r="R29" i="23"/>
  <x:c r="S29" i="23"/>
  <x:c r="T29" i="23"/>
  <x:c r="W29" i="23"/>
  <x:c r="X29" i="23"/>
  <x:c r="Y29" i="23"/>
  <x:c r="Z29" i="23"/>
  <x:c r="AA29" i="23"/>
  <x:c r="AB29" i="23"/>
  <x:c r="AC29" i="23"/>
  <x:c r="AG29" i="23"/>
  <x:c r="AH29" i="23"/>
  <x:c r="AI29" i="23"/>
  <x:c r="AJ29" i="23"/>
  <x:c r="AK29" i="23"/>
  <x:c r="AL29" i="23"/>
  <x:c r="AM29" i="23"/>
  <x:c r="H30" i="23"/>
  <x:c r="J30" i="23"/>
  <x:c r="S30" i="23"/>
  <x:c r="T30" i="23"/>
  <x:c r="W30" i="23"/>
  <x:c r="X30" i="23"/>
  <x:c r="Y30" i="23"/>
  <x:c r="Z30" i="23"/>
  <x:c r="AA30" i="23"/>
  <x:c r="AB30" i="23"/>
  <x:c r="AC30" i="23"/>
  <x:c r="AG30" i="23"/>
  <x:c r="AH30" i="23"/>
  <x:c r="AI30" i="23"/>
  <x:c r="AJ30" i="23"/>
  <x:c r="AK30" i="23"/>
  <x:c r="AL30" i="23"/>
  <x:c r="AM30" i="23"/>
  <x:c r="R31" i="23"/>
  <x:c r="S31" i="23"/>
  <x:c r="T31" i="23"/>
  <x:c r="W31" i="23"/>
  <x:c r="X31" i="23"/>
  <x:c r="Y31" i="23"/>
  <x:c r="Z31" i="23"/>
  <x:c r="AA31" i="23"/>
  <x:c r="AB31" i="23"/>
  <x:c r="AC31" i="23"/>
  <x:c r="AG31" i="23"/>
  <x:c r="AH31" i="23"/>
  <x:c r="AI31" i="23"/>
  <x:c r="AJ31" i="23"/>
  <x:c r="AK31" i="23"/>
  <x:c r="AL31" i="23"/>
  <x:c r="AM31" i="23"/>
  <x:c r="R32" i="23"/>
  <x:c r="S32" i="23"/>
  <x:c r="T32" i="23"/>
  <x:c r="W32" i="23"/>
  <x:c r="X32" i="23"/>
  <x:c r="Y32" i="23"/>
  <x:c r="Z32" i="23"/>
  <x:c r="AA32" i="23"/>
  <x:c r="AB32" i="23"/>
  <x:c r="AC32" i="23"/>
  <x:c r="AG32" i="23"/>
  <x:c r="AH32" i="23"/>
  <x:c r="AI32" i="23"/>
  <x:c r="AJ32" i="23"/>
  <x:c r="AK32" i="23"/>
  <x:c r="AL32" i="23"/>
  <x:c r="AM32" i="23"/>
  <x:c r="H33" i="23"/>
  <x:c r="R33" i="23"/>
  <x:c r="S33" i="23"/>
  <x:c r="T33" i="23"/>
  <x:c r="W33" i="23"/>
  <x:c r="X33" i="23"/>
  <x:c r="Y33" i="23"/>
  <x:c r="Z33" i="23"/>
  <x:c r="AA33" i="23"/>
  <x:c r="AB33" i="23"/>
  <x:c r="AC33" i="23"/>
  <x:c r="AG33" i="23"/>
  <x:c r="AH33" i="23"/>
  <x:c r="AI33" i="23"/>
  <x:c r="AJ33" i="23"/>
  <x:c r="AK33" i="23"/>
  <x:c r="AL33" i="23"/>
  <x:c r="AM33" i="23"/>
  <x:c r="R34" i="23"/>
  <x:c r="S34" i="23"/>
  <x:c r="T34" i="23"/>
  <x:c r="W34" i="23"/>
  <x:c r="X34" i="23"/>
  <x:c r="Y34" i="23"/>
  <x:c r="Z34" i="23"/>
  <x:c r="AA34" i="23"/>
  <x:c r="AB34" i="23"/>
  <x:c r="AC34" i="23"/>
  <x:c r="AG34" i="23"/>
  <x:c r="AH34" i="23"/>
  <x:c r="AI34" i="23"/>
  <x:c r="AJ34" i="23"/>
  <x:c r="AK34" i="23"/>
  <x:c r="AL34" i="23"/>
  <x:c r="AM34" i="23"/>
  <x:c r="R35" i="23"/>
  <x:c r="S35" i="23"/>
  <x:c r="T35" i="23"/>
  <x:c r="W35" i="23"/>
  <x:c r="X35" i="23"/>
  <x:c r="Y35" i="23"/>
  <x:c r="Z35" i="23"/>
  <x:c r="AA35" i="23"/>
  <x:c r="AB35" i="23"/>
  <x:c r="AC35" i="23"/>
  <x:c r="AG35" i="23"/>
  <x:c r="AH35" i="23"/>
  <x:c r="AI35" i="23"/>
  <x:c r="AJ35" i="23"/>
  <x:c r="AK35" i="23"/>
  <x:c r="AL35" i="23"/>
  <x:c r="AM35" i="23"/>
  <x:c r="H36" i="23"/>
  <x:c r="I36" i="23"/>
  <x:c r="J36" i="23"/>
  <x:c r="K36" i="23"/>
  <x:c r="R36" i="23"/>
  <x:c r="S36" i="23"/>
  <x:c r="T36" i="23"/>
  <x:c r="W36" i="23"/>
  <x:c r="X36" i="23"/>
  <x:c r="Y36" i="23"/>
  <x:c r="Z36" i="23"/>
  <x:c r="AA36" i="23"/>
  <x:c r="AB36" i="23"/>
  <x:c r="AC36" i="23"/>
  <x:c r="AG36" i="23"/>
  <x:c r="AH36" i="23"/>
  <x:c r="AI36" i="23"/>
  <x:c r="AJ36" i="23"/>
  <x:c r="AK36" i="23"/>
  <x:c r="AL36" i="23"/>
  <x:c r="AM36" i="23"/>
  <x:c r="H37" i="23"/>
  <x:c r="I37" i="23"/>
  <x:c r="J37" i="23"/>
  <x:c r="K37" i="23"/>
  <x:c r="H38" i="23"/>
  <x:c r="I38" i="23"/>
  <x:c r="J38" i="23"/>
  <x:c r="K38" i="23"/>
  <x:c r="S38" i="23"/>
  <x:c r="T38" i="23"/>
  <x:c r="U38" i="23"/>
  <x:c r="W38" i="23"/>
  <x:c r="X38" i="23"/>
  <x:c r="Y38" i="23"/>
  <x:c r="Z38" i="23"/>
  <x:c r="AA38" i="23"/>
  <x:c r="AB38" i="23"/>
  <x:c r="AC38" i="23"/>
  <x:c r="H39" i="23"/>
  <x:c r="I39" i="23"/>
  <x:c r="J39" i="23"/>
  <x:c r="K39" i="23"/>
  <x:c r="W39" i="23"/>
  <x:c r="X39" i="23"/>
  <x:c r="Y39" i="23"/>
  <x:c r="Z39" i="23"/>
  <x:c r="AA39" i="23"/>
  <x:c r="AB39" i="23"/>
  <x:c r="AC39" i="23"/>
  <x:c r="H40" i="23"/>
  <x:c r="I40" i="23"/>
  <x:c r="J40" i="23"/>
  <x:c r="K40" i="23"/>
  <x:c r="W40" i="23"/>
  <x:c r="X40" i="23"/>
  <x:c r="Y40" i="23"/>
  <x:c r="Z40" i="23"/>
  <x:c r="AA40" i="23"/>
  <x:c r="AB40" i="23"/>
  <x:c r="AC40" i="23"/>
  <x:c r="H41" i="23"/>
  <x:c r="I41" i="23"/>
  <x:c r="J41" i="23"/>
  <x:c r="K41" i="23"/>
  <x:c r="W41" i="23"/>
  <x:c r="X41" i="23"/>
  <x:c r="Y41" i="23"/>
  <x:c r="Z41" i="23"/>
  <x:c r="AA41" i="23"/>
  <x:c r="AB41" i="23"/>
  <x:c r="AC41" i="23"/>
  <x:c r="H42" i="23"/>
  <x:c r="I42" i="23"/>
  <x:c r="J42" i="23"/>
  <x:c r="K42" i="23"/>
  <x:c r="W42" i="23"/>
  <x:c r="X42" i="23"/>
  <x:c r="Y42" i="23"/>
  <x:c r="Z42" i="23"/>
  <x:c r="AA42" i="23"/>
  <x:c r="AB42" i="23"/>
  <x:c r="AC42" i="23"/>
  <x:c r="H43" i="23"/>
  <x:c r="I43" i="23"/>
  <x:c r="J43" i="23"/>
  <x:c r="K43" i="23"/>
  <x:c r="H44" i="23"/>
  <x:c r="I44" i="23"/>
  <x:c r="J44" i="23"/>
  <x:c r="K44" i="23"/>
  <x:c r="H45" i="23"/>
  <x:c r="I45" i="23"/>
  <x:c r="J45" i="23"/>
  <x:c r="K45" i="23"/>
  <x:c r="H46" i="23"/>
  <x:c r="I46" i="23"/>
  <x:c r="J46" i="23"/>
  <x:c r="K46" i="23"/>
  <x:c r="H47" i="23"/>
  <x:c r="I47" i="23"/>
  <x:c r="J47" i="23"/>
  <x:c r="K47" i="23"/>
  <x:c r="H48" i="23"/>
  <x:c r="I48" i="23"/>
  <x:c r="J48" i="23"/>
  <x:c r="K48" i="23"/>
  <x:c r="H49" i="23"/>
  <x:c r="I49" i="23"/>
  <x:c r="J49" i="23"/>
  <x:c r="K49" i="23"/>
  <x:c r="H50" i="23"/>
  <x:c r="I50" i="23"/>
  <x:c r="J50" i="23"/>
  <x:c r="K50" i="23"/>
  <x:c r="H53" i="23"/>
  <x:c r="I53" i="23"/>
  <x:c r="J53" i="23"/>
  <x:c r="K53" i="23"/>
  <x:c r="H54" i="23"/>
  <x:c r="I54" i="23"/>
  <x:c r="J54" i="23"/>
  <x:c r="K54" i="23"/>
  <x:c r="H55" i="23"/>
  <x:c r="I55" i="23"/>
  <x:c r="J55" i="23"/>
  <x:c r="K55" i="23"/>
  <x:c r="H56" i="23"/>
  <x:c r="I56" i="23"/>
  <x:c r="J56" i="23"/>
  <x:c r="K56" i="23"/>
  <x:c r="H57" i="23"/>
  <x:c r="I57" i="23"/>
  <x:c r="J57" i="23"/>
  <x:c r="K57" i="23"/>
  <x:c r="H58" i="23"/>
  <x:c r="I58" i="23"/>
  <x:c r="J58" i="23"/>
  <x:c r="K58" i="23"/>
  <x:c r="H59" i="23"/>
  <x:c r="I59" i="23"/>
  <x:c r="J59" i="23"/>
  <x:c r="K59" i="23"/>
  <x:c r="H60" i="23"/>
  <x:c r="I60" i="23"/>
  <x:c r="J60" i="23"/>
  <x:c r="K60" i="23"/>
  <x:c r="H61" i="23"/>
  <x:c r="I61" i="23"/>
  <x:c r="J61" i="23"/>
  <x:c r="K61" i="23"/>
  <x:c r="H62" i="23"/>
  <x:c r="I62" i="23"/>
  <x:c r="J62" i="23"/>
  <x:c r="K62" i="23"/>
  <x:c r="R62" i="23"/>
  <x:c r="S62" i="23"/>
  <x:c r="T62" i="23"/>
  <x:c r="W62" i="23"/>
  <x:c r="X62" i="23"/>
  <x:c r="Y62" i="23"/>
  <x:c r="Z62" i="23"/>
  <x:c r="AA62" i="23"/>
  <x:c r="AB62" i="23"/>
  <x:c r="AC62" i="23"/>
  <x:c r="AG62" i="23"/>
  <x:c r="AH62" i="23"/>
  <x:c r="AI62" i="23"/>
  <x:c r="AJ62" i="23"/>
  <x:c r="AK62" i="23"/>
  <x:c r="AL62" i="23"/>
  <x:c r="AM62" i="23"/>
  <x:c r="H63" i="23"/>
  <x:c r="I63" i="23"/>
  <x:c r="J63" i="23"/>
  <x:c r="K63" i="23"/>
  <x:c r="R63" i="23"/>
  <x:c r="S63" i="23"/>
  <x:c r="T63" i="23"/>
  <x:c r="W63" i="23"/>
  <x:c r="X63" i="23"/>
  <x:c r="Y63" i="23"/>
  <x:c r="Z63" i="23"/>
  <x:c r="AA63" i="23"/>
  <x:c r="AB63" i="23"/>
  <x:c r="AC63" i="23"/>
  <x:c r="AG63" i="23"/>
  <x:c r="AH63" i="23"/>
  <x:c r="AI63" i="23"/>
  <x:c r="AJ63" i="23"/>
  <x:c r="AK63" i="23"/>
  <x:c r="AL63" i="23"/>
  <x:c r="AM63" i="23"/>
  <x:c r="H64" i="23"/>
  <x:c r="I64" i="23"/>
  <x:c r="J64" i="23"/>
  <x:c r="K64" i="23"/>
  <x:c r="R64" i="23"/>
  <x:c r="S64" i="23"/>
  <x:c r="T64" i="23"/>
  <x:c r="W64" i="23"/>
  <x:c r="X64" i="23"/>
  <x:c r="Y64" i="23"/>
  <x:c r="Z64" i="23"/>
  <x:c r="AA64" i="23"/>
  <x:c r="AB64" i="23"/>
  <x:c r="AC64" i="23"/>
  <x:c r="AG64" i="23"/>
  <x:c r="AH64" i="23"/>
  <x:c r="AI64" i="23"/>
  <x:c r="AJ64" i="23"/>
  <x:c r="AK64" i="23"/>
  <x:c r="AL64" i="23"/>
  <x:c r="AM64" i="23"/>
  <x:c r="H65" i="23"/>
  <x:c r="I65" i="23"/>
  <x:c r="J65" i="23"/>
  <x:c r="K65" i="23"/>
  <x:c r="R65" i="23"/>
  <x:c r="S65" i="23"/>
  <x:c r="T65" i="23"/>
  <x:c r="W65" i="23"/>
  <x:c r="X65" i="23"/>
  <x:c r="Y65" i="23"/>
  <x:c r="Z65" i="23"/>
  <x:c r="AA65" i="23"/>
  <x:c r="AB65" i="23"/>
  <x:c r="AC65" i="23"/>
  <x:c r="AG65" i="23"/>
  <x:c r="AH65" i="23"/>
  <x:c r="AI65" i="23"/>
  <x:c r="AJ65" i="23"/>
  <x:c r="AK65" i="23"/>
  <x:c r="AL65" i="23"/>
  <x:c r="AM65" i="23"/>
  <x:c r="H66" i="23"/>
  <x:c r="I66" i="23"/>
  <x:c r="J66" i="23"/>
  <x:c r="K66" i="23"/>
  <x:c r="Q66" i="23"/>
  <x:c r="R66" i="23"/>
  <x:c r="S66" i="23"/>
  <x:c r="T66" i="23"/>
  <x:c r="W66" i="23"/>
  <x:c r="X66" i="23"/>
  <x:c r="Y66" i="23"/>
  <x:c r="Z66" i="23"/>
  <x:c r="AA66" i="23"/>
  <x:c r="AB66" i="23"/>
  <x:c r="AC66" i="23"/>
  <x:c r="AG66" i="23"/>
  <x:c r="AH66" i="23"/>
  <x:c r="AI66" i="23"/>
  <x:c r="AJ66" i="23"/>
  <x:c r="AK66" i="23"/>
  <x:c r="AL66" i="23"/>
  <x:c r="AM66" i="23"/>
  <x:c r="H67" i="23"/>
  <x:c r="I67" i="23"/>
  <x:c r="J67" i="23"/>
  <x:c r="K67" i="23"/>
  <x:c r="R67" i="23"/>
  <x:c r="S67" i="23"/>
  <x:c r="T67" i="23"/>
  <x:c r="W67" i="23"/>
  <x:c r="X67" i="23"/>
  <x:c r="Y67" i="23"/>
  <x:c r="Z67" i="23"/>
  <x:c r="AA67" i="23"/>
  <x:c r="AB67" i="23"/>
  <x:c r="AC67" i="23"/>
  <x:c r="AG67" i="23"/>
  <x:c r="AH67" i="23"/>
  <x:c r="AI67" i="23"/>
  <x:c r="AJ67" i="23"/>
  <x:c r="AK67" i="23"/>
  <x:c r="AL67" i="23"/>
  <x:c r="AM67" i="23"/>
  <x:c r="R68" i="23"/>
  <x:c r="S68" i="23"/>
  <x:c r="T68" i="23"/>
  <x:c r="W68" i="23"/>
  <x:c r="X68" i="23"/>
  <x:c r="Y68" i="23"/>
  <x:c r="Z68" i="23"/>
  <x:c r="AA68" i="23"/>
  <x:c r="AB68" i="23"/>
  <x:c r="AC68" i="23"/>
  <x:c r="AG68" i="23"/>
  <x:c r="AH68" i="23"/>
  <x:c r="AI68" i="23"/>
  <x:c r="AJ68" i="23"/>
  <x:c r="AK68" i="23"/>
  <x:c r="AL68" i="23"/>
  <x:c r="AM68" i="23"/>
  <x:c r="R69" i="23"/>
  <x:c r="S69" i="23"/>
  <x:c r="T69" i="23"/>
  <x:c r="W69" i="23"/>
  <x:c r="X69" i="23"/>
  <x:c r="Y69" i="23"/>
  <x:c r="Z69" i="23"/>
  <x:c r="AA69" i="23"/>
  <x:c r="AB69" i="23"/>
  <x:c r="AC69" i="23"/>
  <x:c r="AG69" i="23"/>
  <x:c r="AH69" i="23"/>
  <x:c r="AI69" i="23"/>
  <x:c r="AJ69" i="23"/>
  <x:c r="AK69" i="23"/>
  <x:c r="AL69" i="23"/>
  <x:c r="AM69" i="23"/>
  <x:c r="H70" i="23"/>
  <x:c r="J70" i="23"/>
  <x:c r="R70" i="23"/>
  <x:c r="S70" i="23"/>
  <x:c r="T70" i="23"/>
  <x:c r="W70" i="23"/>
  <x:c r="X70" i="23"/>
  <x:c r="Y70" i="23"/>
  <x:c r="Z70" i="23"/>
  <x:c r="AA70" i="23"/>
  <x:c r="AB70" i="23"/>
  <x:c r="AC70" i="23"/>
  <x:c r="AG70" i="23"/>
  <x:c r="AH70" i="23"/>
  <x:c r="AI70" i="23"/>
  <x:c r="AJ70" i="23"/>
  <x:c r="AK70" i="23"/>
  <x:c r="AL70" i="23"/>
  <x:c r="AM70" i="23"/>
  <x:c r="R72" i="23"/>
  <x:c r="S72" i="23"/>
  <x:c r="T72" i="23"/>
  <x:c r="W72" i="23"/>
  <x:c r="X72" i="23"/>
  <x:c r="Y72" i="23"/>
  <x:c r="Z72" i="23"/>
  <x:c r="AA72" i="23"/>
  <x:c r="AB72" i="23"/>
  <x:c r="AC72" i="23"/>
  <x:c r="AG72" i="23"/>
  <x:c r="AH72" i="23"/>
  <x:c r="AI72" i="23"/>
  <x:c r="AJ72" i="23"/>
  <x:c r="AK72" i="23"/>
  <x:c r="AL72" i="23"/>
  <x:c r="AM72" i="23"/>
  <x:c r="H73" i="23"/>
  <x:c r="J73" i="23"/>
  <x:c r="R73" i="23"/>
  <x:c r="S73" i="23"/>
  <x:c r="T73" i="23"/>
  <x:c r="W73" i="23"/>
  <x:c r="X73" i="23"/>
  <x:c r="Y73" i="23"/>
  <x:c r="Z73" i="23"/>
  <x:c r="AA73" i="23"/>
  <x:c r="AB73" i="23"/>
  <x:c r="AC73" i="23"/>
  <x:c r="AG73" i="23"/>
  <x:c r="AH73" i="23"/>
  <x:c r="AI73" i="23"/>
  <x:c r="AJ73" i="23"/>
  <x:c r="AK73" i="23"/>
  <x:c r="AL73" i="23"/>
  <x:c r="AM73" i="23"/>
  <x:c r="H74" i="23"/>
  <x:c r="J74" i="23"/>
  <x:c r="S74" i="23"/>
  <x:c r="T74" i="23"/>
  <x:c r="W74" i="23"/>
  <x:c r="X74" i="23"/>
  <x:c r="Y74" i="23"/>
  <x:c r="Z74" i="23"/>
  <x:c r="AA74" i="23"/>
  <x:c r="AB74" i="23"/>
  <x:c r="AC74" i="23"/>
  <x:c r="AG74" i="23"/>
  <x:c r="AH74" i="23"/>
  <x:c r="AI74" i="23"/>
  <x:c r="AJ74" i="23"/>
  <x:c r="AK74" i="23"/>
  <x:c r="AL74" i="23"/>
  <x:c r="AM74" i="23"/>
  <x:c r="H75" i="23"/>
  <x:c r="J75" i="23"/>
  <x:c r="R75" i="23"/>
  <x:c r="S75" i="23"/>
  <x:c r="T75" i="23"/>
  <x:c r="W75" i="23"/>
  <x:c r="X75" i="23"/>
  <x:c r="Y75" i="23"/>
  <x:c r="Z75" i="23"/>
  <x:c r="AA75" i="23"/>
  <x:c r="AB75" i="23"/>
  <x:c r="AC75" i="23"/>
  <x:c r="AG75" i="23"/>
  <x:c r="AH75" i="23"/>
  <x:c r="AI75" i="23"/>
  <x:c r="AJ75" i="23"/>
  <x:c r="AK75" i="23"/>
  <x:c r="AL75" i="23"/>
  <x:c r="AM75" i="23"/>
  <x:c r="R76" i="23"/>
  <x:c r="S76" i="23"/>
  <x:c r="T76" i="23"/>
  <x:c r="W76" i="23"/>
  <x:c r="X76" i="23"/>
  <x:c r="Y76" i="23"/>
  <x:c r="Z76" i="23"/>
  <x:c r="AA76" i="23"/>
  <x:c r="AB76" i="23"/>
  <x:c r="AC76" i="23"/>
  <x:c r="AG76" i="23"/>
  <x:c r="AH76" i="23"/>
  <x:c r="AI76" i="23"/>
  <x:c r="AJ76" i="23"/>
  <x:c r="AK76" i="23"/>
  <x:c r="AL76" i="23"/>
  <x:c r="AM76" i="23"/>
  <x:c r="D77" i="23"/>
  <x:c r="R77" i="23"/>
  <x:c r="S77" i="23"/>
  <x:c r="T77" i="23"/>
  <x:c r="W77" i="23"/>
  <x:c r="X77" i="23"/>
  <x:c r="Y77" i="23"/>
  <x:c r="Z77" i="23"/>
  <x:c r="AA77" i="23"/>
  <x:c r="AB77" i="23"/>
  <x:c r="AC77" i="23"/>
  <x:c r="AG77" i="23"/>
  <x:c r="AH77" i="23"/>
  <x:c r="AI77" i="23"/>
  <x:c r="AJ77" i="23"/>
  <x:c r="AK77" i="23"/>
  <x:c r="AL77" i="23"/>
  <x:c r="AM77" i="23"/>
  <x:c r="R78" i="23"/>
  <x:c r="S78" i="23"/>
  <x:c r="T78" i="23"/>
  <x:c r="W78" i="23"/>
  <x:c r="X78" i="23"/>
  <x:c r="Y78" i="23"/>
  <x:c r="Z78" i="23"/>
  <x:c r="AA78" i="23"/>
  <x:c r="AB78" i="23"/>
  <x:c r="AC78" i="23"/>
  <x:c r="AG78" i="23"/>
  <x:c r="AH78" i="23"/>
  <x:c r="AI78" i="23"/>
  <x:c r="AJ78" i="23"/>
  <x:c r="AK78" i="23"/>
  <x:c r="AL78" i="23"/>
  <x:c r="AM78" i="23"/>
  <x:c r="R79" i="23"/>
  <x:c r="S79" i="23"/>
  <x:c r="T79" i="23"/>
  <x:c r="W79" i="23"/>
  <x:c r="X79" i="23"/>
  <x:c r="Y79" i="23"/>
  <x:c r="Z79" i="23"/>
  <x:c r="AA79" i="23"/>
  <x:c r="AB79" i="23"/>
  <x:c r="AC79" i="23"/>
  <x:c r="AG79" i="23"/>
  <x:c r="AH79" i="23"/>
  <x:c r="AI79" i="23"/>
  <x:c r="AJ79" i="23"/>
  <x:c r="AK79" i="23"/>
  <x:c r="AL79" i="23"/>
  <x:c r="AM79" i="23"/>
  <x:c r="R80" i="23"/>
  <x:c r="S80" i="23"/>
  <x:c r="T80" i="23"/>
  <x:c r="W80" i="23"/>
  <x:c r="X80" i="23"/>
  <x:c r="Y80" i="23"/>
  <x:c r="Z80" i="23"/>
  <x:c r="AA80" i="23"/>
  <x:c r="AB80" i="23"/>
  <x:c r="AC80" i="23"/>
  <x:c r="AG80" i="23"/>
  <x:c r="AH80" i="23"/>
  <x:c r="AI80" i="23"/>
  <x:c r="AJ80" i="23"/>
  <x:c r="AK80" i="23"/>
  <x:c r="AL80" i="23"/>
  <x:c r="AM80" i="23"/>
  <x:c r="S82" i="23"/>
  <x:c r="T82" i="23"/>
  <x:c r="U82" i="23"/>
  <x:c r="W82" i="23"/>
  <x:c r="X82" i="23"/>
  <x:c r="Y82" i="23"/>
  <x:c r="Z82" i="23"/>
  <x:c r="AA82" i="23"/>
  <x:c r="AB82" i="23"/>
  <x:c r="AC82" i="23"/>
  <x:c r="W83" i="23"/>
  <x:c r="X83" i="23"/>
  <x:c r="Y83" i="23"/>
  <x:c r="Z83" i="23"/>
  <x:c r="AA83" i="23"/>
  <x:c r="AB83" i="23"/>
  <x:c r="AC83" i="23"/>
  <x:c r="W84" i="23"/>
  <x:c r="X84" i="23"/>
  <x:c r="Y84" i="23"/>
  <x:c r="Z84" i="23"/>
  <x:c r="AA84" i="23"/>
  <x:c r="AB84" i="23"/>
  <x:c r="AC84" i="23"/>
  <x:c r="W85" i="23"/>
  <x:c r="X85" i="23"/>
  <x:c r="Y85" i="23"/>
  <x:c r="Z85" i="23"/>
  <x:c r="AA85" i="23"/>
  <x:c r="AB85" i="23"/>
  <x:c r="AC85" i="23"/>
  <x:c r="W86" i="23"/>
  <x:c r="X86" i="23"/>
  <x:c r="Y86" i="23"/>
  <x:c r="Z86" i="23"/>
  <x:c r="AA86" i="23"/>
  <x:c r="AB86" i="23"/>
  <x:c r="AC86" i="23"/>
  <x:c r="H5" i="24"/>
  <x:c r="I5" i="24"/>
  <x:c r="J5" i="24"/>
  <x:c r="K5" i="24"/>
  <x:c r="H6" i="24"/>
  <x:c r="I6" i="24"/>
  <x:c r="J6" i="24"/>
  <x:c r="K6" i="24"/>
  <x:c r="H7" i="24"/>
  <x:c r="I7" i="24"/>
  <x:c r="J7" i="24"/>
  <x:c r="K7" i="24"/>
  <x:c r="H8" i="24"/>
  <x:c r="I8" i="24"/>
  <x:c r="J8" i="24"/>
  <x:c r="K8" i="24"/>
  <x:c r="H11" i="24"/>
  <x:c r="I11" i="24"/>
  <x:c r="J11" i="24"/>
  <x:c r="K11" i="24"/>
  <x:c r="H12" i="24"/>
  <x:c r="I12" i="24"/>
  <x:c r="J12" i="24"/>
  <x:c r="K12" i="24"/>
  <x:c r="H13" i="24"/>
  <x:c r="I13" i="24"/>
  <x:c r="J13" i="24"/>
  <x:c r="K13" i="24"/>
  <x:c r="H14" i="24"/>
  <x:c r="I14" i="24"/>
  <x:c r="J14" i="24"/>
  <x:c r="K14" i="24"/>
  <x:c r="H17" i="24"/>
  <x:c r="I17" i="24"/>
  <x:c r="J17" i="24"/>
  <x:c r="K17" i="24"/>
  <x:c r="H18" i="24"/>
  <x:c r="I18" i="24"/>
  <x:c r="J18" i="24"/>
  <x:c r="K18" i="24"/>
  <x:c r="R18" i="24"/>
  <x:c r="S18" i="24"/>
  <x:c r="T18" i="24"/>
  <x:c r="W18" i="24"/>
  <x:c r="X18" i="24"/>
  <x:c r="Y18" i="24"/>
  <x:c r="Z18" i="24"/>
  <x:c r="AA18" i="24"/>
  <x:c r="AB18" i="24"/>
  <x:c r="AC18" i="24"/>
  <x:c r="AG18" i="24"/>
  <x:c r="AH18" i="24"/>
  <x:c r="AI18" i="24"/>
  <x:c r="AJ18" i="24"/>
  <x:c r="AK18" i="24"/>
  <x:c r="AL18" i="24"/>
  <x:c r="AM18" i="24"/>
  <x:c r="H19" i="24"/>
  <x:c r="I19" i="24"/>
  <x:c r="J19" i="24"/>
  <x:c r="K19" i="24"/>
  <x:c r="R19" i="24"/>
  <x:c r="S19" i="24"/>
  <x:c r="T19" i="24"/>
  <x:c r="W19" i="24"/>
  <x:c r="X19" i="24"/>
  <x:c r="Y19" i="24"/>
  <x:c r="Z19" i="24"/>
  <x:c r="AA19" i="24"/>
  <x:c r="AB19" i="24"/>
  <x:c r="AC19" i="24"/>
  <x:c r="AG19" i="24"/>
  <x:c r="AH19" i="24"/>
  <x:c r="AI19" i="24"/>
  <x:c r="AJ19" i="24"/>
  <x:c r="AK19" i="24"/>
  <x:c r="AL19" i="24"/>
  <x:c r="AM19" i="24"/>
  <x:c r="H20" i="24"/>
  <x:c r="I20" i="24"/>
  <x:c r="J20" i="24"/>
  <x:c r="K20" i="24"/>
  <x:c r="R20" i="24"/>
  <x:c r="S20" i="24"/>
  <x:c r="T20" i="24"/>
  <x:c r="W20" i="24"/>
  <x:c r="X20" i="24"/>
  <x:c r="Y20" i="24"/>
  <x:c r="Z20" i="24"/>
  <x:c r="AA20" i="24"/>
  <x:c r="AB20" i="24"/>
  <x:c r="AC20" i="24"/>
  <x:c r="AG20" i="24"/>
  <x:c r="AH20" i="24"/>
  <x:c r="AI20" i="24"/>
  <x:c r="AJ20" i="24"/>
  <x:c r="AK20" i="24"/>
  <x:c r="AL20" i="24"/>
  <x:c r="AM20" i="24"/>
  <x:c r="R21" i="24"/>
  <x:c r="S21" i="24"/>
  <x:c r="T21" i="24"/>
  <x:c r="W21" i="24"/>
  <x:c r="X21" i="24"/>
  <x:c r="Y21" i="24"/>
  <x:c r="Z21" i="24"/>
  <x:c r="AA21" i="24"/>
  <x:c r="AB21" i="24"/>
  <x:c r="AC21" i="24"/>
  <x:c r="AG21" i="24"/>
  <x:c r="AH21" i="24"/>
  <x:c r="AI21" i="24"/>
  <x:c r="AJ21" i="24"/>
  <x:c r="AK21" i="24"/>
  <x:c r="AL21" i="24"/>
  <x:c r="AM21" i="24"/>
  <x:c r="Q22" i="24"/>
  <x:c r="R22" i="24"/>
  <x:c r="S22" i="24"/>
  <x:c r="T22" i="24"/>
  <x:c r="W22" i="24"/>
  <x:c r="X22" i="24"/>
  <x:c r="Y22" i="24"/>
  <x:c r="Z22" i="24"/>
  <x:c r="AA22" i="24"/>
  <x:c r="AB22" i="24"/>
  <x:c r="AC22" i="24"/>
  <x:c r="AG22" i="24"/>
  <x:c r="AH22" i="24"/>
  <x:c r="AI22" i="24"/>
  <x:c r="AJ22" i="24"/>
  <x:c r="AK22" i="24"/>
  <x:c r="AL22" i="24"/>
  <x:c r="AM22" i="24"/>
  <x:c r="H23" i="24"/>
  <x:c r="J23" i="24"/>
  <x:c r="R23" i="24"/>
  <x:c r="S23" i="24"/>
  <x:c r="T23" i="24"/>
  <x:c r="W23" i="24"/>
  <x:c r="X23" i="24"/>
  <x:c r="Y23" i="24"/>
  <x:c r="Z23" i="24"/>
  <x:c r="AA23" i="24"/>
  <x:c r="AB23" i="24"/>
  <x:c r="AC23" i="24"/>
  <x:c r="AG23" i="24"/>
  <x:c r="AH23" i="24"/>
  <x:c r="AI23" i="24"/>
  <x:c r="AJ23" i="24"/>
  <x:c r="AK23" i="24"/>
  <x:c r="AL23" i="24"/>
  <x:c r="AM23" i="24"/>
  <x:c r="H24" i="24"/>
  <x:c r="R24" i="24"/>
  <x:c r="S24" i="24"/>
  <x:c r="T24" i="24"/>
  <x:c r="W24" i="24"/>
  <x:c r="X24" i="24"/>
  <x:c r="Y24" i="24"/>
  <x:c r="Z24" i="24"/>
  <x:c r="AA24" i="24"/>
  <x:c r="AB24" i="24"/>
  <x:c r="AC24" i="24"/>
  <x:c r="AG24" i="24"/>
  <x:c r="AH24" i="24"/>
  <x:c r="AI24" i="24"/>
  <x:c r="AJ24" i="24"/>
  <x:c r="AK24" i="24"/>
  <x:c r="AL24" i="24"/>
  <x:c r="AM24" i="24"/>
  <x:c r="R25" i="24"/>
  <x:c r="S25" i="24"/>
  <x:c r="T25" i="24"/>
  <x:c r="W25" i="24"/>
  <x:c r="X25" i="24"/>
  <x:c r="Y25" i="24"/>
  <x:c r="Z25" i="24"/>
  <x:c r="AA25" i="24"/>
  <x:c r="AB25" i="24"/>
  <x:c r="AC25" i="24"/>
  <x:c r="AG25" i="24"/>
  <x:c r="AH25" i="24"/>
  <x:c r="AI25" i="24"/>
  <x:c r="AJ25" i="24"/>
  <x:c r="AK25" i="24"/>
  <x:c r="AL25" i="24"/>
  <x:c r="AM25" i="24"/>
  <x:c r="R26" i="24"/>
  <x:c r="S26" i="24"/>
  <x:c r="T26" i="24"/>
  <x:c r="W26" i="24"/>
  <x:c r="X26" i="24"/>
  <x:c r="Y26" i="24"/>
  <x:c r="Z26" i="24"/>
  <x:c r="AA26" i="24"/>
  <x:c r="AB26" i="24"/>
  <x:c r="AC26" i="24"/>
  <x:c r="AG26" i="24"/>
  <x:c r="AH26" i="24"/>
  <x:c r="AI26" i="24"/>
  <x:c r="AJ26" i="24"/>
  <x:c r="AK26" i="24"/>
  <x:c r="AL26" i="24"/>
  <x:c r="AM26" i="24"/>
  <x:c r="H27" i="24"/>
  <x:c r="J27" i="24"/>
  <x:c r="R28" i="24"/>
  <x:c r="S28" i="24"/>
  <x:c r="T28" i="24"/>
  <x:c r="W28" i="24"/>
  <x:c r="X28" i="24"/>
  <x:c r="Y28" i="24"/>
  <x:c r="Z28" i="24"/>
  <x:c r="AA28" i="24"/>
  <x:c r="AB28" i="24"/>
  <x:c r="AC28" i="24"/>
  <x:c r="AG28" i="24"/>
  <x:c r="AH28" i="24"/>
  <x:c r="AI28" i="24"/>
  <x:c r="AJ28" i="24"/>
  <x:c r="AK28" i="24"/>
  <x:c r="AL28" i="24"/>
  <x:c r="AM28" i="24"/>
  <x:c r="R29" i="24"/>
  <x:c r="S29" i="24"/>
  <x:c r="T29" i="24"/>
  <x:c r="W29" i="24"/>
  <x:c r="X29" i="24"/>
  <x:c r="Y29" i="24"/>
  <x:c r="Z29" i="24"/>
  <x:c r="AA29" i="24"/>
  <x:c r="AB29" i="24"/>
  <x:c r="AC29" i="24"/>
  <x:c r="AG29" i="24"/>
  <x:c r="AH29" i="24"/>
  <x:c r="AI29" i="24"/>
  <x:c r="AJ29" i="24"/>
  <x:c r="AK29" i="24"/>
  <x:c r="AL29" i="24"/>
  <x:c r="AM29" i="24"/>
  <x:c r="H30" i="24"/>
  <x:c r="J30" i="24"/>
  <x:c r="S30" i="24"/>
  <x:c r="T30" i="24"/>
  <x:c r="W30" i="24"/>
  <x:c r="X30" i="24"/>
  <x:c r="Y30" i="24"/>
  <x:c r="Z30" i="24"/>
  <x:c r="AA30" i="24"/>
  <x:c r="AB30" i="24"/>
  <x:c r="AC30" i="24"/>
  <x:c r="AG30" i="24"/>
  <x:c r="AH30" i="24"/>
  <x:c r="AI30" i="24"/>
  <x:c r="AJ30" i="24"/>
  <x:c r="AK30" i="24"/>
  <x:c r="AL30" i="24"/>
  <x:c r="AM30" i="24"/>
  <x:c r="R31" i="24"/>
  <x:c r="S31" i="24"/>
  <x:c r="T31" i="24"/>
  <x:c r="W31" i="24"/>
  <x:c r="X31" i="24"/>
  <x:c r="Y31" i="24"/>
  <x:c r="Z31" i="24"/>
  <x:c r="AA31" i="24"/>
  <x:c r="AB31" i="24"/>
  <x:c r="AC31" i="24"/>
  <x:c r="AG31" i="24"/>
  <x:c r="AH31" i="24"/>
  <x:c r="AI31" i="24"/>
  <x:c r="AJ31" i="24"/>
  <x:c r="AK31" i="24"/>
  <x:c r="AL31" i="24"/>
  <x:c r="AM31" i="24"/>
  <x:c r="R32" i="24"/>
  <x:c r="S32" i="24"/>
  <x:c r="T32" i="24"/>
  <x:c r="W32" i="24"/>
  <x:c r="X32" i="24"/>
  <x:c r="Y32" i="24"/>
  <x:c r="Z32" i="24"/>
  <x:c r="AA32" i="24"/>
  <x:c r="AB32" i="24"/>
  <x:c r="AC32" i="24"/>
  <x:c r="AG32" i="24"/>
  <x:c r="AH32" i="24"/>
  <x:c r="AI32" i="24"/>
  <x:c r="AJ32" i="24"/>
  <x:c r="AK32" i="24"/>
  <x:c r="AL32" i="24"/>
  <x:c r="AM32" i="24"/>
  <x:c r="H33" i="24"/>
  <x:c r="R33" i="24"/>
  <x:c r="S33" i="24"/>
  <x:c r="T33" i="24"/>
  <x:c r="W33" i="24"/>
  <x:c r="X33" i="24"/>
  <x:c r="Y33" i="24"/>
  <x:c r="Z33" i="24"/>
  <x:c r="AA33" i="24"/>
  <x:c r="AB33" i="24"/>
  <x:c r="AC33" i="24"/>
  <x:c r="AG33" i="24"/>
  <x:c r="AH33" i="24"/>
  <x:c r="AI33" i="24"/>
  <x:c r="AJ33" i="24"/>
  <x:c r="AK33" i="24"/>
  <x:c r="AL33" i="24"/>
  <x:c r="AM33" i="24"/>
  <x:c r="R34" i="24"/>
  <x:c r="S34" i="24"/>
  <x:c r="T34" i="24"/>
  <x:c r="W34" i="24"/>
  <x:c r="X34" i="24"/>
  <x:c r="Y34" i="24"/>
  <x:c r="Z34" i="24"/>
  <x:c r="AA34" i="24"/>
  <x:c r="AB34" i="24"/>
  <x:c r="AC34" i="24"/>
  <x:c r="AG34" i="24"/>
  <x:c r="AH34" i="24"/>
  <x:c r="AI34" i="24"/>
  <x:c r="AJ34" i="24"/>
  <x:c r="AK34" i="24"/>
  <x:c r="AL34" i="24"/>
  <x:c r="AM34" i="24"/>
  <x:c r="R35" i="24"/>
  <x:c r="S35" i="24"/>
  <x:c r="T35" i="24"/>
  <x:c r="W35" i="24"/>
  <x:c r="X35" i="24"/>
  <x:c r="Y35" i="24"/>
  <x:c r="Z35" i="24"/>
  <x:c r="AA35" i="24"/>
  <x:c r="AB35" i="24"/>
  <x:c r="AC35" i="24"/>
  <x:c r="AG35" i="24"/>
  <x:c r="AH35" i="24"/>
  <x:c r="AI35" i="24"/>
  <x:c r="AJ35" i="24"/>
  <x:c r="AK35" i="24"/>
  <x:c r="AL35" i="24"/>
  <x:c r="AM35" i="24"/>
  <x:c r="H36" i="24"/>
  <x:c r="I36" i="24"/>
  <x:c r="J36" i="24"/>
  <x:c r="K36" i="24"/>
  <x:c r="R36" i="24"/>
  <x:c r="S36" i="24"/>
  <x:c r="T36" i="24"/>
  <x:c r="W36" i="24"/>
  <x:c r="X36" i="24"/>
  <x:c r="Y36" i="24"/>
  <x:c r="Z36" i="24"/>
  <x:c r="AA36" i="24"/>
  <x:c r="AB36" i="24"/>
  <x:c r="AC36" i="24"/>
  <x:c r="AG36" i="24"/>
  <x:c r="AH36" i="24"/>
  <x:c r="AI36" i="24"/>
  <x:c r="AJ36" i="24"/>
  <x:c r="AK36" i="24"/>
  <x:c r="AL36" i="24"/>
  <x:c r="AM36" i="24"/>
  <x:c r="H37" i="24"/>
  <x:c r="I37" i="24"/>
  <x:c r="J37" i="24"/>
  <x:c r="K37" i="24"/>
  <x:c r="H38" i="24"/>
  <x:c r="I38" i="24"/>
  <x:c r="J38" i="24"/>
  <x:c r="K38" i="24"/>
  <x:c r="S38" i="24"/>
  <x:c r="T38" i="24"/>
  <x:c r="U38" i="24"/>
  <x:c r="W38" i="24"/>
  <x:c r="X38" i="24"/>
  <x:c r="Y38" i="24"/>
  <x:c r="Z38" i="24"/>
  <x:c r="AA38" i="24"/>
  <x:c r="AB38" i="24"/>
  <x:c r="AC38" i="24"/>
  <x:c r="H39" i="24"/>
  <x:c r="I39" i="24"/>
  <x:c r="J39" i="24"/>
  <x:c r="K39" i="24"/>
  <x:c r="W39" i="24"/>
  <x:c r="X39" i="24"/>
  <x:c r="Y39" i="24"/>
  <x:c r="Z39" i="24"/>
  <x:c r="AA39" i="24"/>
  <x:c r="AB39" i="24"/>
  <x:c r="AC39" i="24"/>
  <x:c r="H40" i="24"/>
  <x:c r="I40" i="24"/>
  <x:c r="J40" i="24"/>
  <x:c r="K40" i="24"/>
  <x:c r="W40" i="24"/>
  <x:c r="X40" i="24"/>
  <x:c r="Y40" i="24"/>
  <x:c r="Z40" i="24"/>
  <x:c r="AA40" i="24"/>
  <x:c r="AB40" i="24"/>
  <x:c r="AC40" i="24"/>
  <x:c r="H41" i="24"/>
  <x:c r="I41" i="24"/>
  <x:c r="J41" i="24"/>
  <x:c r="K41" i="24"/>
  <x:c r="W41" i="24"/>
  <x:c r="X41" i="24"/>
  <x:c r="Y41" i="24"/>
  <x:c r="Z41" i="24"/>
  <x:c r="AA41" i="24"/>
  <x:c r="AB41" i="24"/>
  <x:c r="AC41" i="24"/>
  <x:c r="H42" i="24"/>
  <x:c r="I42" i="24"/>
  <x:c r="J42" i="24"/>
  <x:c r="K42" i="24"/>
  <x:c r="W42" i="24"/>
  <x:c r="X42" i="24"/>
  <x:c r="Y42" i="24"/>
  <x:c r="Z42" i="24"/>
  <x:c r="AA42" i="24"/>
  <x:c r="AB42" i="24"/>
  <x:c r="AC42" i="24"/>
  <x:c r="H43" i="24"/>
  <x:c r="I43" i="24"/>
  <x:c r="J43" i="24"/>
  <x:c r="K43" i="24"/>
  <x:c r="H44" i="24"/>
  <x:c r="I44" i="24"/>
  <x:c r="J44" i="24"/>
  <x:c r="K44" i="24"/>
  <x:c r="H45" i="24"/>
  <x:c r="I45" i="24"/>
  <x:c r="J45" i="24"/>
  <x:c r="K45" i="24"/>
  <x:c r="H46" i="24"/>
  <x:c r="I46" i="24"/>
  <x:c r="J46" i="24"/>
  <x:c r="K46" i="24"/>
  <x:c r="H47" i="24"/>
  <x:c r="I47" i="24"/>
  <x:c r="J47" i="24"/>
  <x:c r="K47" i="24"/>
  <x:c r="H48" i="24"/>
  <x:c r="I48" i="24"/>
  <x:c r="J48" i="24"/>
  <x:c r="K48" i="24"/>
  <x:c r="H49" i="24"/>
  <x:c r="I49" i="24"/>
  <x:c r="J49" i="24"/>
  <x:c r="K49" i="24"/>
  <x:c r="H50" i="24"/>
  <x:c r="I50" i="24"/>
  <x:c r="J50" i="24"/>
  <x:c r="K50" i="24"/>
  <x:c r="H53" i="24"/>
  <x:c r="I53" i="24"/>
  <x:c r="J53" i="24"/>
  <x:c r="K53" i="24"/>
  <x:c r="H54" i="24"/>
  <x:c r="I54" i="24"/>
  <x:c r="J54" i="24"/>
  <x:c r="K54" i="24"/>
  <x:c r="H55" i="24"/>
  <x:c r="I55" i="24"/>
  <x:c r="J55" i="24"/>
  <x:c r="K55" i="24"/>
  <x:c r="H56" i="24"/>
  <x:c r="I56" i="24"/>
  <x:c r="J56" i="24"/>
  <x:c r="K56" i="24"/>
  <x:c r="H57" i="24"/>
  <x:c r="I57" i="24"/>
  <x:c r="J57" i="24"/>
  <x:c r="K57" i="24"/>
  <x:c r="H58" i="24"/>
  <x:c r="I58" i="24"/>
  <x:c r="J58" i="24"/>
  <x:c r="K58" i="24"/>
  <x:c r="H59" i="24"/>
  <x:c r="I59" i="24"/>
  <x:c r="J59" i="24"/>
  <x:c r="K59" i="24"/>
  <x:c r="H60" i="24"/>
  <x:c r="I60" i="24"/>
  <x:c r="J60" i="24"/>
  <x:c r="K60" i="24"/>
  <x:c r="H61" i="24"/>
  <x:c r="I61" i="24"/>
  <x:c r="J61" i="24"/>
  <x:c r="K61" i="24"/>
  <x:c r="H62" i="24"/>
  <x:c r="I62" i="24"/>
  <x:c r="J62" i="24"/>
  <x:c r="K62" i="24"/>
  <x:c r="R62" i="24"/>
  <x:c r="S62" i="24"/>
  <x:c r="T62" i="24"/>
  <x:c r="W62" i="24"/>
  <x:c r="X62" i="24"/>
  <x:c r="Y62" i="24"/>
  <x:c r="Z62" i="24"/>
  <x:c r="AA62" i="24"/>
  <x:c r="AB62" i="24"/>
  <x:c r="AC62" i="24"/>
  <x:c r="AG62" i="24"/>
  <x:c r="AH62" i="24"/>
  <x:c r="AI62" i="24"/>
  <x:c r="AJ62" i="24"/>
  <x:c r="AK62" i="24"/>
  <x:c r="AL62" i="24"/>
  <x:c r="AM62" i="24"/>
  <x:c r="H63" i="24"/>
  <x:c r="I63" i="24"/>
  <x:c r="J63" i="24"/>
  <x:c r="K63" i="24"/>
  <x:c r="R63" i="24"/>
  <x:c r="S63" i="24"/>
  <x:c r="T63" i="24"/>
  <x:c r="W63" i="24"/>
  <x:c r="X63" i="24"/>
  <x:c r="Y63" i="24"/>
  <x:c r="Z63" i="24"/>
  <x:c r="AA63" i="24"/>
  <x:c r="AB63" i="24"/>
  <x:c r="AC63" i="24"/>
  <x:c r="AG63" i="24"/>
  <x:c r="AH63" i="24"/>
  <x:c r="AI63" i="24"/>
  <x:c r="AJ63" i="24"/>
  <x:c r="AK63" i="24"/>
  <x:c r="AL63" i="24"/>
  <x:c r="AM63" i="24"/>
  <x:c r="H64" i="24"/>
  <x:c r="I64" i="24"/>
  <x:c r="J64" i="24"/>
  <x:c r="K64" i="24"/>
  <x:c r="R64" i="24"/>
  <x:c r="S64" i="24"/>
  <x:c r="T64" i="24"/>
  <x:c r="W64" i="24"/>
  <x:c r="X64" i="24"/>
  <x:c r="Y64" i="24"/>
  <x:c r="Z64" i="24"/>
  <x:c r="AA64" i="24"/>
  <x:c r="AB64" i="24"/>
  <x:c r="AC64" i="24"/>
  <x:c r="AG64" i="24"/>
  <x:c r="AH64" i="24"/>
  <x:c r="AI64" i="24"/>
  <x:c r="AJ64" i="24"/>
  <x:c r="AK64" i="24"/>
  <x:c r="AL64" i="24"/>
  <x:c r="AM64" i="24"/>
  <x:c r="H65" i="24"/>
  <x:c r="I65" i="24"/>
  <x:c r="J65" i="24"/>
  <x:c r="K65" i="24"/>
  <x:c r="R65" i="24"/>
  <x:c r="S65" i="24"/>
  <x:c r="T65" i="24"/>
  <x:c r="W65" i="24"/>
  <x:c r="X65" i="24"/>
  <x:c r="Y65" i="24"/>
  <x:c r="Z65" i="24"/>
  <x:c r="AA65" i="24"/>
  <x:c r="AB65" i="24"/>
  <x:c r="AC65" i="24"/>
  <x:c r="AG65" i="24"/>
  <x:c r="AH65" i="24"/>
  <x:c r="AI65" i="24"/>
  <x:c r="AJ65" i="24"/>
  <x:c r="AK65" i="24"/>
  <x:c r="AL65" i="24"/>
  <x:c r="AM65" i="24"/>
  <x:c r="H66" i="24"/>
  <x:c r="I66" i="24"/>
  <x:c r="J66" i="24"/>
  <x:c r="K66" i="24"/>
  <x:c r="Q66" i="24"/>
  <x:c r="R66" i="24"/>
  <x:c r="S66" i="24"/>
  <x:c r="T66" i="24"/>
  <x:c r="W66" i="24"/>
  <x:c r="X66" i="24"/>
  <x:c r="Y66" i="24"/>
  <x:c r="Z66" i="24"/>
  <x:c r="AA66" i="24"/>
  <x:c r="AB66" i="24"/>
  <x:c r="AC66" i="24"/>
  <x:c r="AG66" i="24"/>
  <x:c r="AH66" i="24"/>
  <x:c r="AI66" i="24"/>
  <x:c r="AJ66" i="24"/>
  <x:c r="AK66" i="24"/>
  <x:c r="AL66" i="24"/>
  <x:c r="AM66" i="24"/>
  <x:c r="H67" i="24"/>
  <x:c r="I67" i="24"/>
  <x:c r="J67" i="24"/>
  <x:c r="K67" i="24"/>
  <x:c r="R67" i="24"/>
  <x:c r="S67" i="24"/>
  <x:c r="T67" i="24"/>
  <x:c r="W67" i="24"/>
  <x:c r="X67" i="24"/>
  <x:c r="Y67" i="24"/>
  <x:c r="Z67" i="24"/>
  <x:c r="AA67" i="24"/>
  <x:c r="AB67" i="24"/>
  <x:c r="AC67" i="24"/>
  <x:c r="AG67" i="24"/>
  <x:c r="AH67" i="24"/>
  <x:c r="AI67" i="24"/>
  <x:c r="AJ67" i="24"/>
  <x:c r="AK67" i="24"/>
  <x:c r="AL67" i="24"/>
  <x:c r="AM67" i="24"/>
  <x:c r="R68" i="24"/>
  <x:c r="S68" i="24"/>
  <x:c r="T68" i="24"/>
  <x:c r="W68" i="24"/>
  <x:c r="X68" i="24"/>
  <x:c r="Y68" i="24"/>
  <x:c r="Z68" i="24"/>
  <x:c r="AA68" i="24"/>
  <x:c r="AB68" i="24"/>
  <x:c r="AC68" i="24"/>
  <x:c r="AG68" i="24"/>
  <x:c r="AH68" i="24"/>
  <x:c r="AI68" i="24"/>
  <x:c r="AJ68" i="24"/>
  <x:c r="AK68" i="24"/>
  <x:c r="AL68" i="24"/>
  <x:c r="AM68" i="24"/>
  <x:c r="R69" i="24"/>
  <x:c r="S69" i="24"/>
  <x:c r="T69" i="24"/>
  <x:c r="W69" i="24"/>
  <x:c r="X69" i="24"/>
  <x:c r="Y69" i="24"/>
  <x:c r="Z69" i="24"/>
  <x:c r="AA69" i="24"/>
  <x:c r="AB69" i="24"/>
  <x:c r="AC69" i="24"/>
  <x:c r="AG69" i="24"/>
  <x:c r="AH69" i="24"/>
  <x:c r="AI69" i="24"/>
  <x:c r="AJ69" i="24"/>
  <x:c r="AK69" i="24"/>
  <x:c r="AL69" i="24"/>
  <x:c r="AM69" i="24"/>
  <x:c r="H70" i="24"/>
  <x:c r="J70" i="24"/>
  <x:c r="R70" i="24"/>
  <x:c r="S70" i="24"/>
  <x:c r="T70" i="24"/>
  <x:c r="W70" i="24"/>
  <x:c r="X70" i="24"/>
  <x:c r="Y70" i="24"/>
  <x:c r="Z70" i="24"/>
  <x:c r="AA70" i="24"/>
  <x:c r="AB70" i="24"/>
  <x:c r="AC70" i="24"/>
  <x:c r="AG70" i="24"/>
  <x:c r="AH70" i="24"/>
  <x:c r="AI70" i="24"/>
  <x:c r="AJ70" i="24"/>
  <x:c r="AK70" i="24"/>
  <x:c r="AL70" i="24"/>
  <x:c r="AM70" i="24"/>
  <x:c r="R72" i="24"/>
  <x:c r="S72" i="24"/>
  <x:c r="T72" i="24"/>
  <x:c r="W72" i="24"/>
  <x:c r="X72" i="24"/>
  <x:c r="Y72" i="24"/>
  <x:c r="Z72" i="24"/>
  <x:c r="AA72" i="24"/>
  <x:c r="AB72" i="24"/>
  <x:c r="AC72" i="24"/>
  <x:c r="AG72" i="24"/>
  <x:c r="AH72" i="24"/>
  <x:c r="AI72" i="24"/>
  <x:c r="AJ72" i="24"/>
  <x:c r="AK72" i="24"/>
  <x:c r="AL72" i="24"/>
  <x:c r="AM72" i="24"/>
  <x:c r="H73" i="24"/>
  <x:c r="J73" i="24"/>
  <x:c r="R73" i="24"/>
  <x:c r="S73" i="24"/>
  <x:c r="T73" i="24"/>
  <x:c r="W73" i="24"/>
  <x:c r="X73" i="24"/>
  <x:c r="Y73" i="24"/>
  <x:c r="Z73" i="24"/>
  <x:c r="AA73" i="24"/>
  <x:c r="AB73" i="24"/>
  <x:c r="AC73" i="24"/>
  <x:c r="AG73" i="24"/>
  <x:c r="AH73" i="24"/>
  <x:c r="AI73" i="24"/>
  <x:c r="AJ73" i="24"/>
  <x:c r="AK73" i="24"/>
  <x:c r="AL73" i="24"/>
  <x:c r="AM73" i="24"/>
  <x:c r="H74" i="24"/>
  <x:c r="J74" i="24"/>
  <x:c r="S74" i="24"/>
  <x:c r="T74" i="24"/>
  <x:c r="W74" i="24"/>
  <x:c r="X74" i="24"/>
  <x:c r="Y74" i="24"/>
  <x:c r="Z74" i="24"/>
  <x:c r="AA74" i="24"/>
  <x:c r="AB74" i="24"/>
  <x:c r="AC74" i="24"/>
  <x:c r="AG74" i="24"/>
  <x:c r="AH74" i="24"/>
  <x:c r="AI74" i="24"/>
  <x:c r="AJ74" i="24"/>
  <x:c r="AK74" i="24"/>
  <x:c r="AL74" i="24"/>
  <x:c r="AM74" i="24"/>
  <x:c r="H75" i="24"/>
  <x:c r="J75" i="24"/>
  <x:c r="R75" i="24"/>
  <x:c r="S75" i="24"/>
  <x:c r="T75" i="24"/>
  <x:c r="W75" i="24"/>
  <x:c r="X75" i="24"/>
  <x:c r="Y75" i="24"/>
  <x:c r="Z75" i="24"/>
  <x:c r="AA75" i="24"/>
  <x:c r="AB75" i="24"/>
  <x:c r="AC75" i="24"/>
  <x:c r="AG75" i="24"/>
  <x:c r="AH75" i="24"/>
  <x:c r="AI75" i="24"/>
  <x:c r="AJ75" i="24"/>
  <x:c r="AK75" i="24"/>
  <x:c r="AL75" i="24"/>
  <x:c r="AM75" i="24"/>
  <x:c r="R76" i="24"/>
  <x:c r="S76" i="24"/>
  <x:c r="T76" i="24"/>
  <x:c r="W76" i="24"/>
  <x:c r="X76" i="24"/>
  <x:c r="Y76" i="24"/>
  <x:c r="Z76" i="24"/>
  <x:c r="AA76" i="24"/>
  <x:c r="AB76" i="24"/>
  <x:c r="AC76" i="24"/>
  <x:c r="AG76" i="24"/>
  <x:c r="AH76" i="24"/>
  <x:c r="AI76" i="24"/>
  <x:c r="AJ76" i="24"/>
  <x:c r="AK76" i="24"/>
  <x:c r="AL76" i="24"/>
  <x:c r="AM76" i="24"/>
  <x:c r="D77" i="24"/>
  <x:c r="R77" i="24"/>
  <x:c r="S77" i="24"/>
  <x:c r="T77" i="24"/>
  <x:c r="W77" i="24"/>
  <x:c r="X77" i="24"/>
  <x:c r="Y77" i="24"/>
  <x:c r="Z77" i="24"/>
  <x:c r="AA77" i="24"/>
  <x:c r="AB77" i="24"/>
  <x:c r="AC77" i="24"/>
  <x:c r="AG77" i="24"/>
  <x:c r="AH77" i="24"/>
  <x:c r="AI77" i="24"/>
  <x:c r="AJ77" i="24"/>
  <x:c r="AK77" i="24"/>
  <x:c r="AL77" i="24"/>
  <x:c r="AM77" i="24"/>
  <x:c r="R78" i="24"/>
  <x:c r="S78" i="24"/>
  <x:c r="T78" i="24"/>
  <x:c r="W78" i="24"/>
  <x:c r="X78" i="24"/>
  <x:c r="Y78" i="24"/>
  <x:c r="Z78" i="24"/>
  <x:c r="AA78" i="24"/>
  <x:c r="AB78" i="24"/>
  <x:c r="AC78" i="24"/>
  <x:c r="AG78" i="24"/>
  <x:c r="AH78" i="24"/>
  <x:c r="AI78" i="24"/>
  <x:c r="AJ78" i="24"/>
  <x:c r="AK78" i="24"/>
  <x:c r="AL78" i="24"/>
  <x:c r="AM78" i="24"/>
  <x:c r="R79" i="24"/>
  <x:c r="S79" i="24"/>
  <x:c r="T79" i="24"/>
  <x:c r="W79" i="24"/>
  <x:c r="X79" i="24"/>
  <x:c r="Y79" i="24"/>
  <x:c r="Z79" i="24"/>
  <x:c r="AA79" i="24"/>
  <x:c r="AB79" i="24"/>
  <x:c r="AC79" i="24"/>
  <x:c r="AG79" i="24"/>
  <x:c r="AH79" i="24"/>
  <x:c r="AI79" i="24"/>
  <x:c r="AJ79" i="24"/>
  <x:c r="AK79" i="24"/>
  <x:c r="AL79" i="24"/>
  <x:c r="AM79" i="24"/>
  <x:c r="R80" i="24"/>
  <x:c r="S80" i="24"/>
  <x:c r="T80" i="24"/>
  <x:c r="W80" i="24"/>
  <x:c r="X80" i="24"/>
  <x:c r="Y80" i="24"/>
  <x:c r="Z80" i="24"/>
  <x:c r="AA80" i="24"/>
  <x:c r="AB80" i="24"/>
  <x:c r="AC80" i="24"/>
  <x:c r="AG80" i="24"/>
  <x:c r="AH80" i="24"/>
  <x:c r="AI80" i="24"/>
  <x:c r="AJ80" i="24"/>
  <x:c r="AK80" i="24"/>
  <x:c r="AL80" i="24"/>
  <x:c r="AM80" i="24"/>
  <x:c r="S82" i="24"/>
  <x:c r="T82" i="24"/>
  <x:c r="U82" i="24"/>
  <x:c r="W82" i="24"/>
  <x:c r="X82" i="24"/>
  <x:c r="Y82" i="24"/>
  <x:c r="Z82" i="24"/>
  <x:c r="AA82" i="24"/>
  <x:c r="AB82" i="24"/>
  <x:c r="AC82" i="24"/>
  <x:c r="W83" i="24"/>
  <x:c r="X83" i="24"/>
  <x:c r="Y83" i="24"/>
  <x:c r="Z83" i="24"/>
  <x:c r="AA83" i="24"/>
  <x:c r="AB83" i="24"/>
  <x:c r="AC83" i="24"/>
  <x:c r="W84" i="24"/>
  <x:c r="X84" i="24"/>
  <x:c r="Y84" i="24"/>
  <x:c r="Z84" i="24"/>
  <x:c r="AA84" i="24"/>
  <x:c r="AB84" i="24"/>
  <x:c r="AC84" i="24"/>
  <x:c r="W85" i="24"/>
  <x:c r="X85" i="24"/>
  <x:c r="Y85" i="24"/>
  <x:c r="Z85" i="24"/>
  <x:c r="AA85" i="24"/>
  <x:c r="AB85" i="24"/>
  <x:c r="AC85" i="24"/>
  <x:c r="W86" i="24"/>
  <x:c r="X86" i="24"/>
  <x:c r="Y86" i="24"/>
  <x:c r="Z86" i="24"/>
  <x:c r="AA86" i="24"/>
  <x:c r="AB86" i="24"/>
  <x:c r="AC86" i="24"/>
  <x:c r="E5" i="11"/>
  <x:c r="F5" i="11"/>
  <x:c r="E8" i="11"/>
  <x:c r="F8" i="11"/>
  <x:c r="E11" i="11"/>
  <x:c r="F11" i="11"/>
  <x:c r="E14" i="11"/>
  <x:c r="E17" i="11"/>
  <x:c r="F17" i="11"/>
  <x:c r="E18" i="11"/>
  <x:c r="F18" i="11"/>
  <x:c r="E19" i="11"/>
  <x:c r="F19" i="11"/>
  <x:c r="E20" i="11"/>
  <x:c r="F20" i="11"/>
  <x:c r="E21" i="11"/>
  <x:c r="F21" i="11"/>
  <x:c r="E22" i="11"/>
  <x:c r="F22" i="11"/>
  <x:c r="E23" i="11"/>
  <x:c r="F23" i="11"/>
  <x:c r="E24" i="11"/>
  <x:c r="F24" i="11"/>
  <x:c r="E25" i="11"/>
  <x:c r="F25" i="11"/>
  <x:c r="E26" i="11"/>
  <x:c r="F26" i="11"/>
  <x:c r="E27" i="11"/>
  <x:c r="F27" i="11"/>
  <x:c r="E28" i="11"/>
  <x:c r="F28" i="11"/>
  <x:c r="E29" i="11"/>
  <x:c r="F29" i="11"/>
  <x:c r="E30" i="11"/>
  <x:c r="F30" i="11"/>
  <x:c r="E31" i="11"/>
  <x:c r="F31" i="11"/>
  <x:c r="D34" i="11"/>
</x:calcChain>
</file>

<file path=xl/sharedStrings.xml><?xml version="1.0" encoding="utf-8"?>
<x:sst xmlns:x="http://schemas.openxmlformats.org/spreadsheetml/2006/main">
  <x:si>
    <x:t>datum</x:t>
  </x:si>
  <x:si>
    <x:t>wijziging</x:t>
  </x:si>
  <x:si>
    <x:t>Versie</x:t>
  </x:si>
  <x:si>
    <x:t>1e helft 2025</x:t>
  </x:si>
  <x:si>
    <x:t>alle variabele invoer cellen op nul gezet, gFF zekeringen toegevoegd, werkblad met OVL lengtes toegevoegd</x:t>
  </x:si>
  <x:si>
    <x:t>1.0</x:t>
  </x:si>
  <x:si>
    <x:t>de nieuwe tabellen voor toekomstige aansluitwaarden kleinzakelijk en grootzakelijk toegevoegd op werkbladen ontwerpstroom_trafo en _kabel</x:t>
  </x:si>
  <x:si>
    <x:t>2.0</x:t>
  </x:si>
  <x:si>
    <x:t>Per afgaande LS-kabel is er één werkblad gemaakt. De kabel lengteberekeningen zijn ook per werkblad geplaatst, zodat we één tabblad hebben per richting . De kleuren van de tabbladen komen overeen met de lijn kleuren in de SO-tekenhulp. De huidige E-aansluitwaarde wordt tezamen met de eventueel aanwezige gasaansluiting tot een E-equivalent berekend. De aantallen per kabelrichting worden automatisch gesommeerd op het trafowerkblad, waarbij de op dat netvlak van toepassing zijnde belasting- en opwekwaardes zijn verwerkt. Tevens is het OVL lengte werkblad geüpdatet. Bijstellen van de PV adoptie o.b.v. het nieuwe EV26 scenario.
Correctie van de vermogens van netbewust laden. Hierbij wordt nu het vermogen tijdens de netbewust laden periode gebruikt.
Onderscheid gemaakt tussen bestaande en nieuwbouw huishoudens. Behalve uiteraard de gele invoercellen zijn de werkbladen zonder wachtwoord beveiligd.</x:t>
  </x:si>
  <x:si>
    <x:t>3.0</x:t>
  </x:si>
  <x:si>
    <x:t xml:space="preserve">Correctie van de ontwerpstromen en -vermogens van type 1 t/m type 6 door aanpassen van het uitgangspunt voor etmaal temperatuur tijdens de verbruikspiek. Opwekwaardes eigenrichting 3x100A en 3x125A verlaagd tot dezelfde waardes als belasting in case G4, G6, geen of ander gas.
Onderscheiden van ontwerpstromen o.b.v. bouwjaar. </x:t>
  </x:si>
  <x:si>
    <x:t>3.1</x:t>
  </x:si>
  <x:si>
    <x:t xml:space="preserve">Ontwerpstroom transformator (let op: kolom A is automatische optelsom van alle afgaande kabelrichtingen) </x:t>
  </x:si>
  <x:si>
    <x:t>Aantal van eenheid</x:t>
  </x:si>
  <x:si>
    <x:t>Type wooneenheid</x:t>
  </x:si>
  <x:si>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verbruik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</x:si>
  <x:si>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opwek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</x:si>
  <x:si>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</x:si>
  <x:si>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</x:si>
  <x:si>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</x:si>
  <x:si>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kW</x:t>
    </x:r>
  </x:si>
  <x:si>
    <x:t>Type 1: Laagbouw huishoudens t/m bouwjaar 2021 met een individuele warmtepomp en tapwaterbuffer</x:t>
  </x:si>
  <x:si>
    <x:t xml:space="preserve">  Vrijstaand</x:t>
  </x:si>
  <x:si>
    <x:t xml:space="preserve">  Twee onder een kap</x:t>
  </x:si>
  <x:si>
    <x:t xml:space="preserve">  Rijtjeswoning (woonboten, woonwagens, chalets en vakantiehuisjes)</x:t>
  </x:si>
  <x:si>
    <x:t xml:space="preserve">  Onbekend</x:t>
  </x:si>
  <x:si>
    <x:t>Type 2: Laagbouw huishoudens met stads- of gasverwarming</x:t>
  </x:si>
  <x:si>
    <x:t xml:space="preserve">  Twee onder een kap</x:t>
  </x:si>
  <x:si>
    <x:t>Type 3: Laagbouw huishoudens vanaf bouwjaar 2022 met een individuele warmtepomp en tapwaterbuffer</x:t>
  </x:si>
  <x:si>
    <x:t xml:space="preserve">  Rijtjeswoning</x:t>
  </x:si>
  <x:si>
    <x:t>Type 4: Hoogbouw huishoudens met collectieve warmtepomp, stads- of gasverwarming</x:t>
  </x:si>
  <x:si>
    <x:t xml:space="preserve">  Appartement incl. publiek laden</x:t>
  </x:si>
  <x:si>
    <x:t xml:space="preserve">  Collectieve warmtepomp - elektrisch vermogen</x:t>
  </x:si>
  <x:si>
    <x:t>Toekomstige aansluitwaarden kleinzakelijk en grootverbruik:</x:t>
  </x:si>
  <x:si>
    <x:t>Type 5: Hoogbouw huishoudens t/m bouwjaar 2021 met een individuele warmtepomp</x:t>
  </x:si>
  <x:si>
    <x:t>Type 6: Nieuwbouw hoogbouw huishoudens vanaf bouwjaar 2022 met een individuele warmtepomp</x:t>
  </x:si>
  <x:si>
    <x:t>Type 7: Laag- of hoogbouw met alternatieve verwarmingscomponenten (toeslag)</x:t>
  </x:si>
  <x:si>
    <x:t xml:space="preserve">  Aantal  * elektrisch vermogen verwarmingscomponent *  gelijktijdigheidsfactor tabel type 7</x:t>
  </x:si>
  <x:si>
    <x:t>Type 8: Kleinzakelijk (niet-huishoudelijk t/m 3x80A)</x:t>
  </x:si>
  <x:si>
    <x:t xml:space="preserve">  Huidige aansluitwaarde: &lt; 3x35A</x:t>
  </x:si>
  <x:si>
    <x:t>G4, G6, geen of ander gas</x:t>
  </x:si>
  <x:si>
    <x:t>G10 t/m G25</x:t>
  </x:si>
  <x:si>
    <x:t>&gt; G25</x:t>
  </x:si>
  <x:si>
    <x:t xml:space="preserve">  Huidige aansluitwaarde: 3x35A t/m 3x40A </x:t>
  </x:si>
  <x:si>
    <x:t xml:space="preserve">  Huidige aansluitwaarde: 3x50A </x:t>
  </x:si>
  <x:si>
    <x:t xml:space="preserve">  Huidige aansluitwaarde: 3x63A </x:t>
  </x:si>
  <x:si>
    <x:t xml:space="preserve">  Huidige aansluitwaarde: 3x80A </x:t>
  </x:si>
  <x:si>
    <x:t>Type 9: Grootverbruik LS (eigen richting &gt;3x80A)</x:t>
  </x:si>
  <x:si>
    <x:t xml:space="preserve">  Huidige aansluitwaarde: 3x100A</x:t>
  </x:si>
  <x:si>
    <x:t xml:space="preserve">  Huidige aansluitwaarde: 3x125A</x:t>
  </x:si>
  <x:si>
    <x:t xml:space="preserve">  Huidige aansluitwaarde: 3x160A</x:t>
  </x:si>
  <x:si>
    <x:t xml:space="preserve">  Huidige aansluitwaarde: 3x200A</x:t>
  </x:si>
  <x:si>
    <x:t xml:space="preserve">  Huidige aansluitwaarde: 3x250A</x:t>
  </x:si>
  <x:si>
    <x:t>Type 10: Netbewust publiek laden</x:t>
  </x:si>
  <x:si>
    <x:t xml:space="preserve">  Aansluiting 3x25A</x:t>
  </x:si>
  <x:si>
    <x:t>Type 11: Straatmeubilair</x:t>
  </x:si>
  <x:si>
    <x:t xml:space="preserve">  Aansluiting 3x25A </x:t>
  </x:si>
  <x:si>
    <x:t xml:space="preserve">  Aansluiting 3x40A t/m 3x50A</x:t>
  </x:si>
  <x:si>
    <x:t xml:space="preserve">  Aansluiting 3x63A t/m 3x80A</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</x:si>
  <x:si>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</x:si>
  <x:si>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(A)</x:t>
    </x:r>
  </x:si>
  <x:si>
    <x:t>Naam:</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</x:si>
  <x:si>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(kW)</x:t>
    </x:r>
  </x:si>
  <x:si>
    <x:t>Nummer:</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</x:si>
  <x:si>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(kW)</x:t>
    </x:r>
  </x:si>
  <x:si>
    <x:t>Vermogen:</x:t>
  </x:si>
  <x:si>
    <x:t>Minimaal aantal benodigde netstations met een 630kVA transformator</x:t>
  </x:si>
  <x:si>
    <x:t>Installatie:</x:t>
  </x:si>
  <x:si>
    <x:t xml:space="preserve">Vul alleen de </x:t>
  </x:si>
  <x:si>
    <x:t>vlakken in.</x:t>
  </x:si>
  <x:si>
    <x:t>Ontwerpstroom kabel</x:t>
  </x:si>
  <x:si>
    <x:t>Verschillende doorsnedes in dezelfde kabelgroep! Let op: Alleen de gele velden zijn invoervelden !</x:t>
  </x:si>
  <x:si>
    <x:t>Invoervelden</x:t>
  </x:si>
  <x:si>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</x:si>
  <x:si>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</x:si>
  <x:si>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</x:si>
  <x:si>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kW</x:t>
    </x:r>
  </x:si>
  <x:si>
    <x:t>Opmerkingen</x:t>
  </x:si>
  <x:si>
    <x:t xml:space="preserve">Evenredig verdeelde belasting over de kabel (50%), gebaseerd op tabellen 6 en 8 uit kader Eea-0205.K </x:t>
  </x:si>
  <x:si>
    <x:t>Er moet wel sprake zijn van zogenaamde kabelverjonging, d.w.z. de zwaardere kabels aan het begin van de kabelgroep en de dunnere kabels op het eind van de kabelgroep.</x:t>
  </x:si>
  <x:si>
    <x:t>ontwerpstroom</x:t>
  </x:si>
  <x:si>
    <x:t>t/m 57A</x:t>
  </x:si>
  <x:si>
    <x:t>t/m 72A</x:t>
  </x:si>
  <x:si>
    <x:t>t/m 90A</x:t>
  </x:si>
  <x:si>
    <x:t>t/m 113A</x:t>
  </x:si>
  <x:si>
    <x:t>t/m 144A</x:t>
  </x:si>
  <x:si>
    <x:t>t/m 180A</x:t>
  </x:si>
  <x:si>
    <x:t>t/m 225A</x:t>
  </x:si>
  <x:si>
    <x:t>smeltveiligheid Inom</x:t>
  </x:si>
  <x:si>
    <x:t>63A</x:t>
  </x:si>
  <x:si>
    <x:t>80A</x:t>
  </x:si>
  <x:si>
    <x:t>100A</x:t>
  </x:si>
  <x:si>
    <x:t>125A</x:t>
  </x:si>
  <x:si>
    <x:t>160A</x:t>
  </x:si>
  <x:si>
    <x:t>200A</x:t>
  </x:si>
  <x:si>
    <x:t>250A</x:t>
  </x:si>
  <x:si>
    <x:t>invoer</x:t>
  </x:si>
  <x:si>
    <x:t>waarden per 1000m</x:t>
  </x:si>
  <x:si>
    <x:t>waarden o.b.v. kabellengte</x:t>
  </x:si>
  <x:si>
    <x:t xml:space="preserve">kabellengtes </x:t>
  </x:si>
  <x:si>
    <x:t>ohm</x:t>
  </x:si>
  <x:si>
    <x:t>A</x:t>
  </x:si>
  <x:si>
    <x:t>per doorsnede</x:t>
  </x:si>
  <x:si>
    <x:t>Name</x:t>
  </x:si>
  <x:si>
    <x:t>R</x:t>
  </x:si>
  <x:si>
    <x:t>X</x:t>
  </x:si>
  <x:si>
    <x:t>Z (berekend)</x:t>
  </x:si>
  <x:si>
    <x:t>in meters</x:t>
  </x:si>
  <x:si>
    <x:t>hulptabel</x:t>
  </x:si>
  <x:si>
    <x:t>4*240mm2 Al</x:t>
  </x:si>
  <x:si>
    <x:t>4*150mm2 Al</x:t>
  </x:si>
  <x:si>
    <x:t>4*120mm2 Al</x:t>
  </x:si>
  <x:si>
    <x:t>4*95mm2 Al</x:t>
  </x:si>
  <x:si>
    <x:t>4*70mm2 Al</x:t>
  </x:si>
  <x:si>
    <x:t>4*50mm2 Al</x:t>
  </x:si>
  <x:si>
    <x:t>4*35mm2 Al</x:t>
  </x:si>
  <x:si>
    <x:t>4*25mm2 Al</x:t>
  </x:si>
  <x:si>
    <x:t>4*16mm2 Al</x:t>
  </x:si>
  <x:si>
    <x:t>4*185mm2 Cu</x:t>
  </x:si>
  <x:si>
    <x:t>4*150mm2 Cu</x:t>
  </x:si>
  <x:si>
    <x:t>4*120mm2 Cu</x:t>
  </x:si>
  <x:si>
    <x:t>4*95mm2 Cu</x:t>
  </x:si>
  <x:si>
    <x:t>4*70mm2 Cu</x:t>
  </x:si>
  <x:si>
    <x:t>4*50mm2 Cu</x:t>
  </x:si>
  <x:si>
    <x:t>4*35mm2 Cu</x:t>
  </x:si>
  <x:si>
    <x:t>4*25mm2 Cu</x:t>
  </x:si>
  <x:si>
    <x:t>4*16mm2 Cu</x:t>
  </x:si>
  <x:si>
    <x:t>totale samengestelde impedantie</x:t>
  </x:si>
  <x:si>
    <x:t xml:space="preserve">   t.a.v. totale impedantie passieve trafo en gG</x:t>
  </x:si>
  <x:si>
    <x:t xml:space="preserve">   t.a.v. totale impedantie regeltrafo en gFF</x:t>
  </x:si>
  <x:si>
    <x:t xml:space="preserve">   t.a.v. ontwerpstroom</x:t>
  </x:si>
  <x:si>
    <x:t xml:space="preserve">Belasting geconcentreerd op de laatste helft van de kabel (75%), gebaseerd op tabellen 7 en 9 uit kader Eea-0205.K </x:t>
  </x:si>
  <x:si>
    <x:r>
      <x:rPr>
        <x:b/>
        <x:vertAlign val="baseline"/>
        <x:sz val="14"/>
        <x:color theme="1"/>
        <x:rFont val="Calibri"/>
        <x:family val="2"/>
        <x:scheme val="minor"/>
      </x:rPr>
      <x:t xml:space="preserve">   voldoet aan beide / toegestaan met</x:t>
    </x:r>
    <x:r>
      <x:rPr>
        <x:b/>
        <x:u val="single"/>
        <x:vertAlign val="baseline"/>
        <x:sz val="14"/>
        <x:color theme="1"/>
        <x:rFont val="Calibri"/>
        <x:family val="2"/>
        <x:scheme val="minor"/>
      </x:rPr>
      <x:t xml:space="preserve"> passieve transformator en gG zekeringen?</x:t>
    </x:r>
  </x:si>
  <x:si>
    <x:r>
      <x:rPr>
        <x:b/>
        <x:vertAlign val="baseline"/>
        <x:sz val="14"/>
        <x:color theme="1"/>
        <x:rFont val="Calibri"/>
        <x:family val="2"/>
        <x:scheme val="minor"/>
      </x:rPr>
      <x:t xml:space="preserve">   voldoet aan beide / toegestaan met </x:t>
    </x:r>
    <x:r>
      <x:rPr>
        <x:b/>
        <x:u val="single"/>
        <x:vertAlign val="baseline"/>
        <x:sz val="14"/>
        <x:color theme="1"/>
        <x:rFont val="Calibri"/>
        <x:family val="2"/>
        <x:scheme val="minor"/>
      </x:rPr>
      <x:t>regeltransformator en gFF zekeringen?</x:t>
    </x:r>
  </x:si>
  <x:si>
    <x:t>Totale ontwerpstroom op de kabel (A)</x:t>
  </x:si>
  <x:si>
    <x:t>Verdeel gekozen aansluitingen over meerdere kabels indien ontwerpstroom groter dan 225A is!</x:t>
  </x:si>
  <x:si>
    <x:t>Ontwerpstroom stijgleiding (LET OP: deze aantallen komen niet mee in de sommatie op trafowerkblad)</x:t>
  </x:si>
  <x:si>
    <x:t>Ontwerpstroom per eenheid</x:t>
  </x:si>
  <x:si>
    <x:t>Totaal op kabelniveau in A</x:t>
  </x:si>
  <x:si>
    <x:t>Totaal op kabelniveau in kW</x:t>
  </x:si>
  <x:si>
    <x:t>vlakken in</x:t>
  </x:si>
  <x:si>
    <x:t xml:space="preserve">  Appartement</x:t>
  </x:si>
  <x:si>
    <x:t>Type 6: Hoogbouw huishoudens vanaf bouwjaar 2022 met een individuele warmtepomp</x:t>
  </x:si>
  <x:si>
    <x:t>Totale ontwerpstroom op de stijgleiding (A)</x:t>
  </x:si>
  <x:si>
    <x:t xml:space="preserve">De lengte van de 16Cu stijgleiding is o.b.v. 1% spanningsvariatie (en belasting evenredig verdeeld) beperkt tot de maximale lengtes in onderstaande tabel. </x:t>
  </x:si>
  <x:si>
    <x:t>Indien de lengte van de stijgleiding uit bovenstaande tabel niet toereikend is dan kan hiervan worden afgeweken door het maken van een GAIA berekening. In deze GAIA berekening moet dan worden aangetoond dat de spanningsvariatie van het hoofdnet en stijgleiding &lt; 5%.</x:t>
  </x:si>
  <x:si>
    <x:t>Maximale lengte OVL kabels  (max lengtes voor 3-aderige kabels zijn gelijkwaardig aan onderstaande 4-aderige)</x:t>
  </x:si>
  <x:si>
    <x:t>Aansluitkabel 15 meter 3x2,5 Cu met AS</x:t>
  </x:si>
  <x:si>
    <x:t>Max. lengte [m] bij zekering type:</x:t>
  </x:si>
  <x:si>
    <x:t>Kabeltype</x:t>
  </x:si>
  <x:si>
    <x:t>6 A gG</x:t>
  </x:si>
  <x:si>
    <x:t>10 A gG</x:t>
  </x:si>
  <x:si>
    <x:t>16 A gG</x:t>
  </x:si>
  <x:si>
    <x:t>20 A gG</x:t>
  </x:si>
  <x:si>
    <x:t>25 A gG</x:t>
  </x:si>
  <x:si>
    <x:t>VG-YMvKas 4x16 mm2 Cu</x:t>
  </x:si>
  <x:si>
    <x:t>VO-YMvKas 4x10 mm2 Cu</x:t>
  </x:si>
  <x:si>
    <x:t>VO-YMvKas 4x6 mm2 Cu</x:t>
  </x:si>
  <x:si>
    <x:t>VMvK 4x16 mm2 Cu</x:t>
  </x:si>
  <x:si>
    <x:t>VMvK 4x10 mm2 Cu</x:t>
  </x:si>
  <x:si>
    <x:t>VMvK 4x6 mm2 Cu</x:t>
  </x:si>
  <x:si>
    <x:t>VMvK 4x2,5 mm2 Cu</x:t>
  </x:si>
  <x:si>
    <x:t xml:space="preserve">Aansluitkabel 50 meter 3x6 Cu met AS </x:t>
  </x:si>
  <x:si>
    <x:t xml:space="preserve"> Afzekeren met 6A is toegestaan wanneer lichtmasten beveiligd zijn met 2 of 4 A.</x:t>
  </x:si>
  <x:si>
    <x:t>Voorkeur voor afzekeren met 10A of 16A.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</x:si>
</x:sst>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6">
    <x:numFmt numFmtId="43" formatCode="_ * #,##0.00_ ;_ * \-#,##0.00_ ;_ * &quot;-&quot;??_ ;_ @_ "/>
    <x:numFmt numFmtId="164" formatCode="0.0"/>
    <x:numFmt numFmtId="165" formatCode="0.000"/>
    <x:numFmt numFmtId="166" formatCode="_ * #,##0_ ;_ * \-#,##0_ ;_ * &quot;-&quot;??_ ;_ @_ "/>
    <x:numFmt numFmtId="167" formatCode="_ * #,##0.000_ ;_ * \-#,##0.000_ ;_ * &quot;-&quot;???_ ;_ @_ "/>
    <x:numFmt numFmtId="168" formatCode="0.00"/>
  </x:numFmts>
  <x:fonts count="22" x14ac:knownFonts="1">
    <x:font>
      <x:sz val="11"/>
      <x:color theme="1"/>
      <x:name val="Calibri"/>
      <x:family val="2"/>
      <x:scheme val="minor"/>
    </x:font>
    <x:font>
      <x:sz val="9"/>
      <x:color rgb="FF000000"/>
      <x:name val="Segoe UI"/>
      <x:family val="2"/>
    </x:font>
    <x:font>
      <x:i/>
      <x:sz val="11"/>
      <x:color theme="1"/>
      <x:name val="Calibri"/>
      <x:family val="2"/>
      <x:scheme val="minor"/>
    </x:font>
    <x:font>
      <x:b/>
      <x:sz val="11"/>
      <x:color theme="1"/>
      <x:name val="Calibri"/>
      <x:family val="2"/>
      <x:scheme val="minor"/>
    </x:font>
    <x:font>
      <x:b/>
      <x:sz val="12"/>
      <x:color theme="1"/>
      <x:name val="Calibri"/>
      <x:family val="2"/>
      <x:scheme val="minor"/>
    </x:font>
    <x:font>
      <x:b/>
      <x:sz val="14"/>
      <x:color theme="1"/>
      <x:name val="Calibri"/>
      <x:family val="2"/>
      <x:scheme val="minor"/>
    </x:font>
    <x:font>
      <x:sz val="9"/>
      <x:color theme="1"/>
      <x:name val="Verdana"/>
      <x:family val="2"/>
    </x:font>
    <x:font>
      <x:sz val="11"/>
      <x:color theme="1"/>
      <x:name val="Calibri"/>
      <x:family val="2"/>
      <x:scheme val="minor"/>
    </x:font>
    <x:font>
      <x:b/>
      <x:sz val="18"/>
      <x:color theme="1"/>
      <x:name val="Calibri"/>
      <x:family val="2"/>
      <x:scheme val="minor"/>
    </x:font>
    <x:font>
      <x:b/>
      <x:sz val="16"/>
      <x:color theme="1"/>
      <x:name val="Calibri"/>
      <x:family val="2"/>
      <x:scheme val="minor"/>
    </x:font>
    <x:font>
      <x:b/>
      <x:sz val="14"/>
      <x:color rgb="FFFF0000"/>
      <x:name val="Calibri"/>
      <x:family val="2"/>
      <x:scheme val="minor"/>
    </x:font>
    <x:font>
      <x:b/>
      <x:sz val="11"/>
      <x:name val="Calibri"/>
      <x:family val="2"/>
      <x:scheme val="minor"/>
    </x:font>
    <x:font>
      <x:b/>
      <x:u/>
      <x:sz val="11"/>
      <x:color theme="1"/>
      <x:name val="Calibri"/>
      <x:family val="2"/>
      <x:scheme val="minor"/>
    </x:font>
    <x:font>
      <x:b/>
      <x:u/>
      <x:sz val="12"/>
      <x:color theme="1"/>
      <x:name val="Calibri"/>
      <x:family val="2"/>
      <x:scheme val="minor"/>
    </x:font>
    <x:font>
      <x:b/>
      <x:u/>
      <x:sz val="14"/>
      <x:color theme="1"/>
      <x:name val="Calibri"/>
      <x:family val="2"/>
      <x:scheme val="minor"/>
    </x:font>
    <x:font>
      <x:sz val="11"/>
      <x:name val="Calibri"/>
      <x:family val="2"/>
      <x:scheme val="minor"/>
    </x:font>
    <x:font>
      <x:sz val="11"/>
      <x:color theme="1"/>
      <x:name val="Aptos"/>
      <x:family val="2"/>
      <x:charset val="1"/>
    </x:font>
    <x:font>
      <x:sz val="11"/>
      <x:color rgb="FF000000"/>
      <x:name val="Aptos"/>
      <x:family val="2"/>
    </x:font>
    <x:font>
      <x:sz val="11"/>
      <x:color theme="1"/>
      <x:name val="Calibri"/>
      <x:family val="2"/>
    </x:font>
    <x:font>
      <x:sz val="14"/>
      <x:color theme="1"/>
      <x:name val="Calibri"/>
      <x:family val="2"/>
      <x:scheme val="minor"/>
    </x:font>
    <x:font>
      <x:b/>
      <x:sz val="11"/>
      <x:color rgb="FFFF0000"/>
      <x:name val="Calibri"/>
      <x:family val="2"/>
      <x:scheme val="minor"/>
    </x:font>
    <x:font>
      <x:vertAlign val="baseline"/>
      <x:sz val="11"/>
      <x:color rgb="FF000000"/>
      <x:name val="Calibri"/>
      <x:family val="2"/>
    </x:font>
  </x:fonts>
  <x:fills count="16">
    <x:fill>
      <x:patternFill patternType="none"/>
    </x:fill>
    <x:fill>
      <x:patternFill patternType="gray125"/>
    </x:fill>
    <x:fill>
      <x:patternFill patternType="solid">
        <x:fgColor rgb="FFFFFF00"/>
        <x:bgColor indexed="64"/>
      </x:patternFill>
    </x:fill>
    <x:fill>
      <x:patternFill patternType="solid">
        <x:fgColor rgb="FF92D050"/>
        <x:bgColor indexed="64"/>
      </x:patternFill>
    </x:fill>
    <x:fill>
      <x:patternFill patternType="lightDown"/>
    </x:fill>
    <x:fill>
      <x:patternFill patternType="solid">
        <x:fgColor theme="0" tint="-0.14999847407452621"/>
        <x:bgColor indexed="64"/>
      </x:patternFill>
    </x:fill>
    <x:fill>
      <x:patternFill patternType="solid">
        <x:fgColor theme="3" tint="0.59999389629810485"/>
        <x:bgColor indexed="64"/>
      </x:patternFill>
    </x:fill>
    <x:fill>
      <x:patternFill patternType="solid">
        <x:fgColor rgb="FFFFC000"/>
        <x:bgColor indexed="64"/>
      </x:patternFill>
    </x:fill>
    <x:fill>
      <x:patternFill patternType="solid">
        <x:fgColor theme="9" tint="0.39997558519241921"/>
        <x:bgColor indexed="64"/>
      </x:patternFill>
    </x:fill>
    <x:fill>
      <x:patternFill patternType="solid">
        <x:fgColor theme="2"/>
        <x:bgColor indexed="64"/>
      </x:patternFill>
    </x:fill>
    <x:fill>
      <x:patternFill patternType="solid">
        <x:fgColor theme="7"/>
        <x:bgColor indexed="64"/>
      </x:patternFill>
    </x:fill>
    <x:fill>
      <x:patternFill patternType="solid">
        <x:fgColor rgb="FFFF0000"/>
        <x:bgColor indexed="64"/>
      </x:patternFill>
    </x:fill>
    <x:fill>
      <x:patternFill patternType="solid">
        <x:fgColor rgb="FFC00000"/>
        <x:bgColor indexed="64"/>
      </x:patternFill>
    </x:fill>
    <x:fill>
      <x:patternFill patternType="solid">
        <x:fgColor theme="4" tint="0.59999389629810485"/>
        <x:bgColor indexed="64"/>
      </x:patternFill>
    </x:fill>
    <x:fill>
      <x:patternFill patternType="lightDown">
        <x:fgColor rgb="FF000000"/>
        <x:bgColor rgb="FFFFFFFF"/>
      </x:patternFill>
    </x:fill>
    <x:fill>
      <x:patternFill patternType="solid">
        <x:fgColor rgb="FFD9D9D9"/>
        <x:bgColor rgb="FF000000"/>
      </x:patternFill>
    </x:fill>
  </x:fills>
  <x:borders count="59">
    <x:border>
      <x:left/>
      <x:right/>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style="thin">
        <x:color indexed="64"/>
      </x:right>
      <x:top/>
      <x:bottom/>
      <x:diagonal/>
    </x:border>
    <x:border>
      <x:left style="thin">
        <x:color indexed="64"/>
      </x:left>
      <x:right/>
      <x:top/>
      <x:bottom/>
      <x:diagonal/>
    </x:border>
    <x:border>
      <x:left/>
      <x:right style="thin">
        <x:color indexed="64"/>
      </x:right>
      <x:top/>
      <x:bottom/>
      <x:diagonal/>
    </x:border>
    <x:border>
      <x:left style="thin">
        <x:color indexed="64"/>
      </x:left>
      <x:right style="thin">
        <x:color indexed="64"/>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medium">
        <x:color indexed="64"/>
      </x:right>
      <x:top/>
      <x:bottom style="thin">
        <x:color indexed="64"/>
      </x:bottom>
      <x:diagonal/>
    </x:border>
    <x:border>
      <x:left style="medium">
        <x:color indexed="64"/>
      </x:left>
      <x:right/>
      <x:top/>
      <x:bottom/>
      <x:diagonal/>
    </x:border>
    <x:border>
      <x:left/>
      <x:right/>
      <x:top style="thin">
        <x:color indexed="64"/>
      </x:top>
      <x:bottom/>
      <x:diagonal/>
    </x:border>
    <x:border>
      <x:left/>
      <x:right style="thin">
        <x:color indexed="64"/>
      </x:right>
      <x:top style="thin">
        <x:color indexed="64"/>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medium">
        <x:color indexed="64"/>
      </x:right>
      <x:top style="medium">
        <x:color indexed="64"/>
      </x:top>
      <x:bottom/>
      <x:diagonal/>
    </x:border>
    <x:border>
      <x:left style="thin">
        <x:color indexed="64"/>
      </x:left>
      <x:right style="medium">
        <x:color indexed="64"/>
      </x:right>
      <x:top/>
      <x:bottom/>
      <x:diagonal/>
    </x:border>
    <x:border>
      <x:left style="thin">
        <x:color indexed="64"/>
      </x:left>
      <x:right style="medium">
        <x:color indexed="64"/>
      </x:right>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style="medium">
        <x:color indexed="64"/>
      </x:right>
      <x:top style="thin">
        <x:color indexed="64"/>
      </x:top>
      <x:bottom style="thin">
        <x:color indexed="64"/>
      </x:bottom>
      <x:diagonal/>
    </x:border>
    <x:border>
      <x:left style="medium">
        <x:color indexed="64"/>
      </x:left>
      <x:right style="medium">
        <x:color indexed="64"/>
      </x:right>
      <x:top style="thin">
        <x:color indexed="64"/>
      </x:top>
      <x:bottom style="medium">
        <x:color indexed="64"/>
      </x:bottom>
      <x:diagonal/>
    </x:border>
    <x:border>
      <x:left style="medium">
        <x:color indexed="64"/>
      </x:left>
      <x:right style="medium">
        <x:color indexed="64"/>
      </x:right>
      <x:top style="medium">
        <x:color indexed="64"/>
      </x:top>
      <x:bottom style="thin">
        <x:color indexed="64"/>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x:top style="thin">
        <x:color indexed="64"/>
      </x:top>
      <x:bottom style="medium">
        <x:color indexed="64"/>
      </x:bottom>
      <x:diagonal/>
    </x:border>
    <x:border>
      <x:left/>
      <x:right/>
      <x:top style="thin">
        <x:color indexed="64"/>
      </x:top>
      <x:bottom style="medium">
        <x:color indexed="64"/>
      </x:bottom>
      <x:diagonal/>
    </x:border>
    <x:border>
      <x:left/>
      <x:right style="medium">
        <x:color indexed="64"/>
      </x:right>
      <x:top style="thin">
        <x:color indexed="64"/>
      </x:top>
      <x:bottom style="medium">
        <x:color indexed="64"/>
      </x:bottom>
      <x:diagonal/>
    </x:border>
    <x:border>
      <x:left style="medium">
        <x:color indexed="64"/>
      </x:left>
      <x:right/>
      <x:top style="thin">
        <x:color indexed="64"/>
      </x:top>
      <x:bottom style="thin">
        <x:color indexed="64"/>
      </x:bottom>
      <x:diagonal/>
    </x:border>
    <x:border>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x:right style="thin">
        <x:color indexed="64"/>
      </x:right>
      <x:top/>
      <x:bottom style="medium">
        <x:color indexed="64"/>
      </x:bottom>
      <x:diagonal/>
    </x:border>
    <x:border>
      <x:left style="medium">
        <x:color indexed="64"/>
      </x:left>
      <x:right style="thin">
        <x:color indexed="64"/>
      </x:right>
      <x:top style="medium">
        <x:color indexed="64"/>
      </x:top>
      <x:bottom/>
      <x:diagonal/>
    </x:border>
    <x:border>
      <x:left style="medium">
        <x:color indexed="64"/>
      </x:left>
      <x:right style="thin">
        <x:color indexed="64"/>
      </x:right>
      <x:top style="thin">
        <x:color indexed="64"/>
      </x:top>
      <x:bottom/>
      <x:diagonal/>
    </x:border>
    <x:border>
      <x:left style="medium">
        <x:color indexed="64"/>
      </x:left>
      <x:right style="medium">
        <x:color indexed="64"/>
      </x:right>
      <x:top style="medium">
        <x:color indexed="64"/>
      </x:top>
      <x:bottom style="medium">
        <x:color indexed="64"/>
      </x:bottom>
      <x:diagonal/>
    </x:border>
    <x:border>
      <x:left style="thin">
        <x:color indexed="64"/>
      </x:left>
      <x:right style="medium">
        <x:color indexed="64"/>
      </x:right>
      <x:top style="thin">
        <x:color indexed="64"/>
      </x:top>
      <x:bottom style="thin">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x:bottom style="thin">
        <x:color indexed="64"/>
      </x:bottom>
      <x:diagonal/>
    </x:border>
    <x:border>
      <x:left/>
      <x:right style="thin">
        <x:color indexed="64"/>
      </x:right>
      <x:top style="medium">
        <x:color indexed="64"/>
      </x:top>
      <x:bottom style="thin">
        <x:color indexed="64"/>
      </x:bottom>
      <x:diagonal/>
    </x:border>
    <x:border>
      <x:left/>
      <x:right style="thin">
        <x:color indexed="64"/>
      </x:right>
      <x:top style="thin">
        <x:color indexed="64"/>
      </x:top>
      <x:bottom style="thin">
        <x:color indexed="64"/>
      </x:bottom>
      <x:diagonal/>
    </x:border>
    <x:border>
      <x:left/>
      <x:right style="thin">
        <x:color indexed="64"/>
      </x:right>
      <x:top style="thin">
        <x:color indexed="64"/>
      </x:top>
      <x:bottom style="medium">
        <x:color indexed="64"/>
      </x:bottom>
      <x:diagonal/>
    </x:border>
    <x:border>
      <x:left style="medium">
        <x:color indexed="64"/>
      </x:left>
      <x:right style="medium">
        <x:color indexed="64"/>
      </x:right>
      <x:top style="medium">
        <x:color indexed="64"/>
      </x:top>
      <x:bottom style="medium">
        <x:color rgb="FF000000"/>
      </x:bottom>
      <x:diagonal/>
    </x:border>
    <x:border>
      <x:left style="medium">
        <x:color indexed="64"/>
      </x:left>
      <x:right style="medium">
        <x:color indexed="64"/>
      </x:right>
      <x:top/>
      <x:bottom/>
      <x:diagonal/>
    </x:border>
    <x:border>
      <x:left style="medium">
        <x:color indexed="64"/>
      </x:left>
      <x:right style="medium">
        <x:color indexed="64"/>
      </x:right>
      <x:top/>
      <x:bottom style="thin">
        <x:color indexed="64"/>
      </x:bottom>
      <x:diagonal/>
    </x:border>
    <x:border>
      <x:left style="medium">
        <x:color indexed="64"/>
      </x:left>
      <x:right style="medium">
        <x:color indexed="64"/>
      </x:right>
      <x:top style="medium">
        <x:color indexed="64"/>
      </x:top>
      <x:bottom/>
      <x:diagonal/>
    </x:border>
  </x:borders>
  <x:cellStyleXfs count="171">
    <x:xf numFmtId="0" fontId="0" fillId="0" borderId="0"/>
    <x:xf numFmtId="43" fontId="7" fillId="0" borderId="0" applyFont="0" applyFill="0" applyBorder="0" applyAlignment="0" applyProtection="0"/>
    <x:xf numFmtId="43" fontId="7" fillId="0" borderId="0" applyFont="0" applyFill="0" applyBorder="0" applyAlignment="0" applyProtection="0"/>
    <x:xf numFmtId="0" fontId="3"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1"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 fontId="3" fillId="0" borderId="0" applyNumberFormat="1" applyFill="1" applyBorder="0" applyAlignment="1" applyProtection="1">
      <x:protection locked="1" hidden="0"/>
    </x:xf>
    <x:xf numFmtId="1" fontId="18" fillId="14" borderId="0" applyNumberFormat="1" applyFill="0" applyBorder="0" applyAlignment="1" applyProtection="1">
      <x:protection locked="1" hidden="0"/>
    </x:xf>
    <x:xf numFmtId="0" fontId="2" fillId="0" borderId="0" applyNumberFormat="1" applyFill="1" applyBorder="0" applyAlignment="1" applyProtection="1">
      <x:protection locked="1" hidden="0"/>
    </x:xf>
    <x:xf numFmtId="1" fontId="18" fillId="1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0" fillId="12"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 fontId="3" fillId="13" borderId="0" applyNumberFormat="1" applyFill="0" applyBorder="0" applyAlignment="1" applyProtection="1">
      <x:protection locked="1" hidden="0"/>
    </x:xf>
    <x:xf numFmtId="0" fontId="3" fillId="0" borderId="32" applyNumberFormat="1" applyFill="1" applyBorder="1" applyAlignment="1" applyProtection="1">
      <x:protection locked="1" hidden="0"/>
    </x:xf>
    <x:xf numFmtId="0" fontId="0" fillId="3" borderId="33" applyNumberFormat="1" applyFill="0" applyBorder="1" applyAlignment="1" applyProtection="1">
      <x:protection locked="0" hidden="0"/>
    </x:xf>
    <x:xf numFmtId="0" fontId="0" fillId="3" borderId="34" applyNumberFormat="1" applyFill="0" applyBorder="1" applyAlignment="1" applyProtection="1">
      <x:protection locked="0" hidden="0"/>
    </x:xf>
    <x:xf numFmtId="0" fontId="0" fillId="3" borderId="35" applyNumberFormat="1" applyFill="0" applyBorder="1" applyAlignment="1" applyProtection="1">
      <x:protection locked="0" hidden="0"/>
    </x:xf>
    <x:xf numFmtId="164" fontId="3" fillId="0" borderId="0" applyNumberFormat="1" applyFill="1" applyBorder="0" applyAlignment="1" applyProtection="1">
      <x:protection locked="1" hidden="0"/>
    </x:xf>
    <x:xf numFmtId="0" fontId="3" fillId="0" borderId="30" applyNumberFormat="1" applyFill="1" applyBorder="1" applyAlignment="1" applyProtection="1">
      <x:protection locked="1" hidden="0"/>
    </x:xf>
    <x:xf numFmtId="0" fontId="0" fillId="3" borderId="39" applyNumberFormat="1" applyFill="0" applyBorder="1" applyAlignment="1" applyProtection="1">
      <x:protection locked="0" hidden="0"/>
    </x:xf>
    <x:xf numFmtId="0" fontId="0" fillId="3" borderId="40" applyNumberFormat="1" applyFill="0" applyBorder="1" applyAlignment="1" applyProtection="1">
      <x:protection locked="0" hidden="0"/>
    </x:xf>
    <x:xf numFmtId="0" fontId="0" fillId="3" borderId="41" applyNumberFormat="1" applyFill="0" applyBorder="1" applyAlignment="1" applyProtection="1">
      <x:protection locked="0" hidden="0"/>
    </x:xf>
    <x:xf numFmtId="164" fontId="3" fillId="13" borderId="0" applyNumberFormat="1" applyFill="0" applyBorder="0" applyAlignment="1" applyProtection="1">
      <x:protection locked="1" hidden="0"/>
    </x:xf>
    <x:xf numFmtId="0" fontId="3" fillId="0" borderId="31" applyNumberFormat="1" applyFill="1" applyBorder="1" applyAlignment="1" applyProtection="1">
      <x:protection locked="1" hidden="0"/>
    </x:xf>
    <x:xf numFmtId="0" fontId="0" fillId="3" borderId="36" applyNumberFormat="1" applyFill="0" applyBorder="1" applyAlignment="1" applyProtection="1">
      <x:protection locked="0" hidden="0"/>
    </x:xf>
    <x:xf numFmtId="0" fontId="0" fillId="3" borderId="37" applyNumberFormat="1" applyFill="0" applyBorder="1" applyAlignment="1" applyProtection="1">
      <x:protection locked="0" hidden="0"/>
    </x:xf>
    <x:xf numFmtId="0" fontId="0" fillId="3" borderId="38" applyNumberFormat="1" applyFill="0" applyBorder="1" applyAlignment="1" applyProtection="1">
      <x:protection locked="0" hidden="0"/>
    </x:xf>
    <x:xf numFmtId="2" fontId="3" fillId="0" borderId="0" applyNumberFormat="1" applyFill="1" applyBorder="0" applyAlignment="1" applyProtection="1">
      <x:protection locked="1" hidden="0"/>
    </x:xf>
    <x:xf numFmtId="1" fontId="0" fillId="0" borderId="0" applyNumberFormat="1" applyFill="1" applyBorder="0" applyAlignment="1" applyProtection="1">
      <x:protection locked="0" hidden="0"/>
    </x:xf>
    <x:xf numFmtId="0" fontId="3" fillId="2" borderId="0" applyNumberFormat="1" applyFill="0" applyBorder="0" applyAlignment="1" applyProtection="1">
      <x:protection locked="0" hidden="0"/>
    </x:xf>
    <x:xf numFmtId="0" fontId="5" fillId="0" borderId="27" applyNumberFormat="1" applyFill="1" applyBorder="1" applyAlignment="1" applyProtection="1">
      <x:protection locked="1" hidden="0"/>
    </x:xf>
    <x:xf numFmtId="0" fontId="5" fillId="0" borderId="28" applyNumberFormat="1" applyFill="1" applyBorder="1" applyAlignment="1" applyProtection="1">
      <x:protection locked="1" hidden="0"/>
    </x:xf>
    <x:xf numFmtId="0" fontId="5" fillId="0" borderId="29" applyNumberFormat="1" applyFill="1" applyBorder="1" applyAlignment="1" applyProtection="1">
      <x:protection locked="1" hidden="0"/>
    </x:xf>
    <x:xf numFmtId="0" fontId="8"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1" fontId="3" fillId="0" borderId="0" applyNumberFormat="1" applyFill="1" applyBorder="0" applyAlignment="1" applyProtection="1">
      <x:protection locked="0" hidden="0"/>
    </x:xf>
    <x:xf numFmtId="0" fontId="3" fillId="0" borderId="27" applyNumberFormat="1" applyFill="1" applyBorder="1" applyAlignment="1" applyProtection="1">
      <x:protection locked="1" hidden="0"/>
    </x:xf>
    <x:xf numFmtId="0" fontId="3" fillId="0" borderId="28" applyNumberFormat="1" applyFill="1" applyBorder="1" applyAlignment="1" applyProtection="1">
      <x:protection locked="1" hidden="0"/>
    </x:xf>
    <x:xf numFmtId="1" fontId="3" fillId="0" borderId="28" applyNumberFormat="1" applyFill="1" applyBorder="1" applyAlignment="1" applyProtection="1">
      <x:protection locked="1" hidden="0"/>
    </x:xf>
    <x:xf numFmtId="1" fontId="3" fillId="0" borderId="29" applyNumberFormat="1" applyFill="1" applyBorder="1" applyAlignment="1" applyProtection="1">
      <x:protection locked="1" hidden="0"/>
    </x:xf>
    <x:xf numFmtId="0" fontId="12"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6" applyNumberFormat="1" applyFill="1" applyBorder="1" applyAlignment="1" applyProtection="1">
      <x:protection locked="1" hidden="0"/>
    </x:xf>
    <x:xf numFmtId="0" fontId="5" fillId="0" borderId="17" applyNumberFormat="1" applyFill="1" applyBorder="1" applyAlignment="1" applyProtection="1">
      <x:protection locked="1" hidden="0"/>
    </x:xf>
    <x:xf numFmtId="0" fontId="10" fillId="0" borderId="0" applyNumberFormat="1" applyFill="1" applyBorder="0" applyAlignment="1" applyProtection="1">
      <x:protection locked="1" hidden="0"/>
    </x:xf>
    <x:xf numFmtId="0" fontId="10" fillId="0" borderId="11" applyNumberFormat="1" applyFill="1" applyBorder="1" applyAlignment="1" applyProtection="1">
      <x:protection locked="1" hidden="0"/>
    </x:xf>
    <x:xf numFmtId="1" fontId="0" fillId="4" borderId="0" applyNumberFormat="1" applyFill="0" applyBorder="0" applyAlignment="1" applyProtection="1">
      <x:protection locked="0" hidden="0"/>
    </x:xf>
    <x:xf numFmtId="0" fontId="10" fillId="0" borderId="17" applyNumberFormat="1" applyFill="1" applyBorder="1" applyAlignment="1" applyProtection="1">
      <x:protection locked="1" hidden="0"/>
    </x:xf>
    <x:xf numFmtId="1" fontId="0" fillId="2" borderId="0" applyNumberFormat="1" applyFill="0" applyBorder="0" applyAlignment="1" applyProtection="1">
      <x:protection locked="0" hidden="0"/>
    </x:xf>
    <x:xf numFmtId="0" fontId="0" fillId="2" borderId="0" applyNumberFormat="1" applyFill="0" applyBorder="0" applyAlignment="1" applyProtection="1">
      <x:protection locked="0" hidden="0"/>
    </x:xf>
    <x:xf numFmtId="0" fontId="10" fillId="0" borderId="1" applyNumberFormat="1" applyFill="1" applyBorder="1" applyAlignment="1" applyProtection="1">
      <x:protection locked="1" hidden="0"/>
    </x:xf>
    <x:xf numFmtId="0" fontId="0" fillId="0" borderId="20"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0" borderId="22" applyNumberFormat="1" applyFill="1" applyBorder="1" applyAlignment="1" applyProtection="1">
      <x:protection locked="1" hidden="0"/>
    </x:xf>
    <x:xf numFmtId="0" fontId="0" fillId="13" borderId="17" applyNumberFormat="1" applyFill="0" applyBorder="1" applyAlignment="1" applyProtection="1">
      <x:protection locked="1" hidden="0"/>
    </x:xf>
    <x:xf numFmtId="0" fontId="3"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0" fillId="0" borderId="43" applyNumberFormat="1" applyFill="1" applyBorder="1" applyAlignment="1" applyProtection="1">
      <x:protection locked="1" hidden="0"/>
    </x:xf>
    <x:xf numFmtId="0" fontId="0" fillId="0" borderId="4" applyNumberFormat="1" applyFill="1" applyBorder="1" applyAlignment="1" applyProtection="1">
      <x:protection locked="1" hidden="0"/>
    </x:xf>
    <x:xf numFmtId="0" fontId="0" fillId="0" borderId="6" applyNumberFormat="1" applyFill="1" applyBorder="1" applyAlignment="1" applyProtection="1">
      <x:protection locked="1" hidden="0"/>
    </x:xf>
    <x:xf numFmtId="0" fontId="11"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9" applyNumberFormat="1" applyFill="1" applyBorder="1" applyAlignment="1" applyProtection="1">
      <x:protection locked="1" hidden="0"/>
    </x:xf>
    <x:xf numFmtId="0" fontId="0" fillId="0" borderId="11"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0" fontId="0" fillId="0" borderId="9" applyNumberFormat="1" applyFill="1" applyBorder="1" applyAlignment="1" applyProtection="1">
      <x:protection locked="1" hidden="0"/>
    </x:xf>
    <x:xf numFmtId="0" fontId="3" fillId="0" borderId="12" applyNumberFormat="1" applyFill="1" applyBorder="1" applyAlignment="1" applyProtection="1">
      <x:protection locked="1" hidden="0"/>
    </x:xf>
    <x:xf numFmtId="0" fontId="0" fillId="0" borderId="16" applyNumberFormat="1" applyFill="1" applyBorder="1" applyAlignment="1" applyProtection="1">
      <x:protection locked="1" hidden="0"/>
    </x:xf>
    <x:xf numFmtId="0" fontId="0" fillId="9" borderId="0" applyNumberFormat="1" applyFill="0" applyBorder="0" applyAlignment="1" applyProtection="1">
      <x:protection locked="1" hidden="0"/>
    </x:xf>
    <x:xf numFmtId="165" fontId="0" fillId="0" borderId="8" applyNumberFormat="1" applyFill="1" applyBorder="1" applyAlignment="1" applyProtection="1">
      <x:protection locked="1" hidden="0"/>
    </x:xf>
    <x:xf numFmtId="165" fontId="0" fillId="0" borderId="0" applyNumberFormat="1" applyFill="1" applyBorder="0" applyAlignment="1" applyProtection="1">
      <x:protection locked="1" hidden="0"/>
    </x:xf>
    <x:xf numFmtId="165" fontId="0" fillId="0" borderId="9" applyNumberFormat="1" applyFill="1" applyBorder="1" applyAlignment="1" applyProtection="1">
      <x:protection locked="1" hidden="0"/>
    </x:xf>
    <x:xf numFmtId="1" fontId="0" fillId="0" borderId="8" applyNumberFormat="1" applyFill="1" applyBorder="1" applyAlignment="1" applyProtection="1">
      <x:protection locked="1" hidden="0"/>
    </x:xf>
    <x:xf numFmtId="166" fontId="0" fillId="0" borderId="44" applyNumberFormat="1" applyFill="1" applyBorder="1" applyAlignment="1" applyProtection="1">
      <x:protection locked="1" hidden="0"/>
    </x:xf>
    <x:xf numFmtId="166" fontId="0" fillId="0" borderId="19" applyNumberFormat="1" applyFill="1" applyBorder="1" applyAlignment="1" applyProtection="1">
      <x:protection locked="1" hidden="0"/>
    </x:xf>
    <x:xf numFmtId="0" fontId="0" fillId="2" borderId="9" applyNumberFormat="1" applyFill="0" applyBorder="1" applyAlignment="1" applyProtection="1">
      <x:protection locked="0" hidden="0"/>
    </x:xf>
    <x:xf numFmtId="166" fontId="0" fillId="0" borderId="7" applyNumberFormat="1" applyFill="1" applyBorder="1" applyAlignment="1" applyProtection="1">
      <x:protection locked="1" hidden="0"/>
    </x:xf>
    <x:xf numFmtId="166" fontId="0" fillId="0" borderId="9" applyNumberFormat="1" applyFill="1" applyBorder="1" applyAlignment="1" applyProtection="1">
      <x:protection locked="1" hidden="0"/>
    </x:xf>
    <x:xf numFmtId="168" fontId="0" fillId="2" borderId="9" applyNumberFormat="1" applyFill="0" applyBorder="1" applyAlignment="1" applyProtection="1">
      <x:protection locked="0" hidden="0"/>
    </x:xf>
    <x:xf numFmtId="164" fontId="0" fillId="2" borderId="0" applyNumberFormat="1" applyFill="0" applyBorder="0" applyAlignment="1" applyProtection="1">
      <x:protection locked="0" hidden="0"/>
    </x:xf>
    <x:xf numFmtId="166" fontId="0" fillId="0" borderId="7" applyNumberFormat="1" applyFill="1" applyBorder="1" applyAlignment="1" applyProtection="1">
      <x:protection locked="0" hidden="0"/>
    </x:xf>
    <x:xf numFmtId="166" fontId="0" fillId="0" borderId="9" applyNumberFormat="1" applyFill="1" applyBorder="1" applyAlignment="1" applyProtection="1">
      <x:protection locked="0" hidden="0"/>
    </x:xf>
    <x:xf numFmtId="0" fontId="0" fillId="0" borderId="12" applyNumberFormat="1" applyFill="1" applyBorder="1" applyAlignment="1" applyProtection="1">
      <x:protection locked="1" hidden="0"/>
    </x:xf>
    <x:xf numFmtId="165" fontId="0" fillId="0" borderId="13" applyNumberFormat="1" applyFill="1" applyBorder="1" applyAlignment="1" applyProtection="1">
      <x:protection locked="1" hidden="0"/>
    </x:xf>
    <x:xf numFmtId="165" fontId="0" fillId="0" borderId="14" applyNumberFormat="1" applyFill="1" applyBorder="1" applyAlignment="1" applyProtection="1">
      <x:protection locked="1" hidden="0"/>
    </x:xf>
    <x:xf numFmtId="165" fontId="0" fillId="0" borderId="15" applyNumberFormat="1" applyFill="1" applyBorder="1" applyAlignment="1" applyProtection="1">
      <x:protection locked="1" hidden="0"/>
    </x:xf>
    <x:xf numFmtId="1" fontId="0" fillId="0" borderId="13" applyNumberFormat="1" applyFill="1" applyBorder="1" applyAlignment="1" applyProtection="1">
      <x:protection locked="1" hidden="0"/>
    </x:xf>
    <x:xf numFmtId="166" fontId="0" fillId="0" borderId="12" applyNumberFormat="1" applyFill="1" applyBorder="1" applyAlignment="1" applyProtection="1">
      <x:protection locked="1" hidden="0"/>
    </x:xf>
    <x:xf numFmtId="166" fontId="0" fillId="0" borderId="15" applyNumberFormat="1" applyFill="1" applyBorder="1" applyAlignment="1" applyProtection="1">
      <x:protection locked="1" hidden="0"/>
    </x:xf>
    <x:xf numFmtId="0" fontId="0" fillId="0" borderId="17" applyNumberFormat="1" applyFill="1" applyBorder="1" applyAlignment="1" applyProtection="1">
      <x:protection locked="1" hidden="0"/>
    </x:xf>
    <x:xf numFmtId="0" fontId="0" fillId="0" borderId="1"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7" borderId="17" applyNumberFormat="1" applyFill="0" applyBorder="1" applyAlignment="1" applyProtection="1">
      <x:protection locked="1" hidden="0"/>
    </x:xf>
    <x:xf numFmtId="0" fontId="0" fillId="7" borderId="0" applyNumberFormat="1" applyFill="0" applyBorder="0" applyAlignment="1" applyProtection="1">
      <x:protection locked="1" hidden="0"/>
    </x:xf>
    <x:xf numFmtId="165" fontId="0" fillId="7" borderId="0" applyNumberFormat="1" applyFill="0" applyBorder="0" applyAlignment="1" applyProtection="1">
      <x:protection locked="1" hidden="0"/>
    </x:xf>
    <x:xf numFmtId="0" fontId="0" fillId="7" borderId="11" applyNumberFormat="1" applyFill="0" applyBorder="1" applyAlignment="1" applyProtection="1">
      <x:protection locked="1" hidden="0"/>
    </x:xf>
    <x:xf numFmtId="167" fontId="0" fillId="0" borderId="0" applyNumberFormat="1" applyFill="1" applyBorder="0" applyAlignment="1" applyProtection="1">
      <x:protection locked="1" hidden="0"/>
    </x:xf>
    <x:xf numFmtId="0" fontId="0" fillId="13" borderId="0" applyNumberFormat="1" applyFill="0" applyBorder="0" applyAlignment="1" applyProtection="1">
      <x:protection locked="1" hidden="0"/>
    </x:xf>
    <x:xf numFmtId="0" fontId="0" fillId="6" borderId="11" applyNumberFormat="1" applyFill="0" applyBorder="1" applyAlignment="1" applyProtection="1">
      <x:protection locked="1" hidden="0"/>
    </x:xf>
    <x:xf numFmtId="0" fontId="3" fillId="0" borderId="17" applyNumberFormat="1" applyFill="1" applyBorder="1" applyAlignment="1" applyProtection="1">
      <x:protection locked="1" hidden="0"/>
    </x:xf>
    <x:xf numFmtId="0" fontId="5" fillId="8" borderId="0" applyNumberFormat="1" applyFill="0" applyBorder="0" applyAlignment="1" applyProtection="1">
      <x:protection locked="1" hidden="0"/>
    </x:xf>
    <x:xf numFmtId="0" fontId="0" fillId="8" borderId="11" applyNumberFormat="1" applyFill="0" applyBorder="1" applyAlignment="1" applyProtection="1">
      <x:protection locked="1" hidden="0"/>
    </x:xf>
    <x:xf numFmtId="0" fontId="3" fillId="0" borderId="20" applyNumberFormat="1" applyFill="1" applyBorder="1" applyAlignment="1" applyProtection="1">
      <x:protection locked="1" hidden="0"/>
    </x:xf>
    <x:xf numFmtId="0" fontId="3" fillId="0" borderId="21" applyNumberFormat="1" applyFill="1" applyBorder="1" applyAlignment="1" applyProtection="1">
      <x:protection locked="1" hidden="0"/>
    </x:xf>
    <x:xf numFmtId="0" fontId="3" fillId="0" borderId="42" applyNumberFormat="1" applyFill="1" applyBorder="1" applyAlignment="1" applyProtection="1">
      <x:protection locked="1" hidden="0"/>
    </x:xf>
    <x:xf numFmtId="0" fontId="5" fillId="8" borderId="21" applyNumberFormat="1" applyFill="0" applyBorder="1" applyAlignment="1" applyProtection="1">
      <x:protection locked="1" hidden="0"/>
    </x:xf>
    <x:xf numFmtId="0" fontId="3" fillId="8" borderId="22" applyNumberFormat="1" applyFill="0" applyBorder="1" applyAlignment="1" applyProtection="1">
      <x:protection locked="1" hidden="0"/>
    </x:xf>
    <x:xf numFmtId="0" fontId="3" fillId="0" borderId="3" applyNumberFormat="1" applyFill="1" applyBorder="1" applyAlignment="1" applyProtection="1">
      <x:protection locked="1" hidden="0"/>
    </x:xf>
    <x:xf numFmtId="0" fontId="3" fillId="0" borderId="6" applyNumberFormat="1" applyFill="1" applyBorder="1" applyAlignment="1" applyProtection="1">
      <x:protection locked="1" hidden="0"/>
    </x:xf>
    <x:xf numFmtId="0" fontId="0" fillId="13" borderId="1" applyNumberFormat="1" applyFill="0" applyBorder="1" applyAlignment="1" applyProtection="1">
      <x:protection locked="1" hidden="0"/>
    </x:xf>
    <x:xf numFmtId="0" fontId="3"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3" applyNumberFormat="1" applyFill="1" applyBorder="1" applyAlignment="1" applyProtection="1">
      <x:protection locked="1" hidden="0"/>
    </x:xf>
    <x:xf numFmtId="0" fontId="0" fillId="0" borderId="5" applyNumberFormat="1" applyFill="1" applyBorder="1" applyAlignment="1" applyProtection="1">
      <x:protection locked="1" hidden="0"/>
    </x:xf>
    <x:xf numFmtId="0" fontId="3" fillId="0" borderId="25" applyNumberFormat="1" applyFill="1" applyBorder="1" applyAlignment="1" applyProtection="1">
      <x:protection locked="1" hidden="0"/>
    </x:xf>
    <x:xf numFmtId="0" fontId="3" fillId="0" borderId="10" applyNumberFormat="1" applyFill="1" applyBorder="1" applyAlignment="1" applyProtection="1">
      <x:protection locked="1" hidden="0"/>
    </x:xf>
    <x:xf numFmtId="0" fontId="0" fillId="0" borderId="24" applyNumberFormat="1" applyFill="1" applyBorder="1" applyAlignment="1" applyProtection="1">
      <x:protection locked="1" hidden="0"/>
    </x:xf>
    <x:xf numFmtId="1" fontId="0" fillId="0" borderId="24" applyNumberFormat="1" applyFill="1" applyBorder="1" applyAlignment="1" applyProtection="1">
      <x:protection locked="1" hidden="0"/>
    </x:xf>
    <x:xf numFmtId="0" fontId="19" fillId="0" borderId="0" applyNumberFormat="1" applyFill="1" applyBorder="0" applyAlignment="1" applyProtection="1">
      <x:protection locked="1" hidden="0"/>
    </x:xf>
    <x:xf numFmtId="1" fontId="0" fillId="0" borderId="25" applyNumberFormat="1" applyFill="1" applyBorder="1" applyAlignment="1" applyProtection="1">
      <x:protection locked="1" hidden="0"/>
    </x:xf>
    <x:xf numFmtId="0" fontId="0" fillId="2" borderId="15" applyNumberFormat="1" applyFill="0" applyBorder="1" applyAlignment="1" applyProtection="1">
      <x:protection locked="0" hidden="0"/>
    </x:xf>
    <x:xf numFmtId="0" fontId="0" fillId="0" borderId="18" applyNumberFormat="1" applyFill="1" applyBorder="1" applyAlignment="1" applyProtection="1">
      <x:protection locked="1" hidden="0"/>
    </x:xf>
    <x:xf numFmtId="0" fontId="0" fillId="0" borderId="19" applyNumberFormat="1" applyFill="1" applyBorder="1" applyAlignment="1" applyProtection="1">
      <x:protection locked="1" hidden="0"/>
    </x:xf>
    <x:xf numFmtId="0" fontId="3" fillId="2"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4" fillId="0" borderId="27" applyNumberFormat="1" applyFill="1" applyBorder="1" applyAlignment="1" applyProtection="1">
      <x:protection locked="1" hidden="0"/>
    </x:xf>
    <x:xf numFmtId="0" fontId="4" fillId="0" borderId="28" applyNumberFormat="1" applyFill="1" applyBorder="1" applyAlignment="1" applyProtection="1">
      <x:protection locked="1" hidden="0"/>
    </x:xf>
    <x:xf numFmtId="0" fontId="4" fillId="0" borderId="29" applyNumberFormat="1" applyFill="1" applyBorder="1" applyAlignment="1" applyProtection="1">
      <x:protection locked="1" hidden="0"/>
    </x:xf>
    <x:xf numFmtId="0" fontId="3" fillId="0" borderId="55" applyNumberFormat="1" applyFill="1" applyBorder="1" applyAlignment="1" applyProtection="1">
      <x:protection locked="1" hidden="0"/>
    </x:xf>
    <x:xf numFmtId="0" fontId="0" fillId="0" borderId="56" applyNumberFormat="1" applyFill="1" applyBorder="1" applyAlignment="1" applyProtection="1">
      <x:protection locked="1" hidden="0"/>
    </x:xf>
    <x:xf numFmtId="0" fontId="11" fillId="0" borderId="28" applyNumberFormat="1" applyFill="1" applyBorder="1" applyAlignment="1" applyProtection="1">
      <x:protection locked="1" hidden="0"/>
    </x:xf>
    <x:xf numFmtId="0" fontId="0" fillId="0" borderId="28" applyNumberFormat="1" applyFill="1" applyBorder="1" applyAlignment="1" applyProtection="1">
      <x:protection locked="1" hidden="0"/>
    </x:xf>
    <x:xf numFmtId="0" fontId="0" fillId="0" borderId="29" applyNumberFormat="1" applyFill="1" applyBorder="1" applyAlignment="1" applyProtection="1">
      <x:protection locked="1" hidden="0"/>
    </x:xf>
    <x:xf numFmtId="0" fontId="3" fillId="0" borderId="45" applyNumberFormat="1" applyFill="1" applyBorder="1" applyAlignment="1" applyProtection="1">
      <x:protection locked="1" hidden="0"/>
    </x:xf>
    <x:xf numFmtId="0" fontId="3" fillId="0" borderId="52" applyNumberFormat="1" applyFill="1" applyBorder="1" applyAlignment="1" applyProtection="1">
      <x:protection locked="1" hidden="0"/>
    </x:xf>
    <x:xf numFmtId="0" fontId="20" fillId="0" borderId="49" applyNumberFormat="1" applyFill="1" applyBorder="1" applyAlignment="1" applyProtection="1">
      <x:protection locked="1" hidden="0"/>
    </x:xf>
    <x:xf numFmtId="0" fontId="3" fillId="0" borderId="49" applyNumberFormat="1" applyFill="1" applyBorder="1" applyAlignment="1" applyProtection="1">
      <x:protection locked="1" hidden="0"/>
    </x:xf>
    <x:xf numFmtId="0" fontId="3" fillId="0" borderId="50" applyNumberFormat="1" applyFill="1" applyBorder="1" applyAlignment="1" applyProtection="1">
      <x:protection locked="1" hidden="0"/>
    </x:xf>
    <x:xf numFmtId="0" fontId="0" fillId="0" borderId="57" applyNumberFormat="1" applyFill="1" applyBorder="1" applyAlignment="1" applyProtection="1">
      <x:protection locked="1" hidden="0"/>
    </x:xf>
    <x:xf numFmtId="0" fontId="0" fillId="0" borderId="53" applyNumberFormat="1" applyFill="1" applyBorder="1" applyAlignment="1" applyProtection="1">
      <x:protection locked="1" hidden="0"/>
    </x:xf>
    <x:xf numFmtId="0" fontId="15" fillId="0" borderId="26" applyNumberFormat="1" applyFill="1" applyBorder="1" applyAlignment="1" applyProtection="1">
      <x:protection locked="1" hidden="0"/>
    </x:xf>
    <x:xf numFmtId="0" fontId="15" fillId="0" borderId="46" applyNumberFormat="1" applyFill="1" applyBorder="1" applyAlignment="1" applyProtection="1">
      <x:protection locked="1" hidden="0"/>
    </x:xf>
    <x:xf numFmtId="0" fontId="0" fillId="0" borderId="30" applyNumberFormat="1" applyFill="1" applyBorder="1" applyAlignment="1" applyProtection="1">
      <x:protection locked="1" hidden="0"/>
    </x:xf>
    <x:xf numFmtId="0" fontId="0" fillId="0" borderId="31" applyNumberFormat="1" applyFill="1" applyBorder="1" applyAlignment="1" applyProtection="1">
      <x:protection locked="1" hidden="0"/>
    </x:xf>
    <x:xf numFmtId="0" fontId="0" fillId="0" borderId="54" applyNumberFormat="1" applyFill="1" applyBorder="1" applyAlignment="1" applyProtection="1">
      <x:protection locked="1" hidden="0"/>
    </x:xf>
    <x:xf numFmtId="0" fontId="15" fillId="0" borderId="47"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9" fontId="0" fillId="0" borderId="0" applyNumberFormat="1" applyFill="1" applyBorder="0" applyAlignment="1" applyProtection="1">
      <x:protection locked="1" hidden="0"/>
    </x:xf>
    <x:xf numFmtId="0" fontId="3" fillId="0" borderId="58" applyNumberFormat="1" applyFill="1" applyBorder="1" applyAlignment="1" applyProtection="1">
      <x:protection locked="1" hidden="0"/>
    </x:xf>
    <x:xf numFmtId="0" fontId="0" fillId="0" borderId="45" applyNumberFormat="1" applyFill="1" applyBorder="1" applyAlignment="1" applyProtection="1">
      <x:protection locked="1" hidden="0"/>
    </x:xf>
    <x:xf numFmtId="0" fontId="3" fillId="0" borderId="57" applyNumberFormat="1" applyFill="1" applyBorder="1" applyAlignment="1" applyProtection="1">
      <x:protection locked="1" hidden="0"/>
    </x:xf>
    <x:xf numFmtId="0" fontId="20" fillId="0" borderId="51" applyNumberFormat="1" applyFill="1" applyBorder="1" applyAlignment="1" applyProtection="1">
      <x:protection locked="1" hidden="0"/>
    </x:xf>
    <x:xf numFmtId="0" fontId="3" fillId="0" borderId="51" applyNumberFormat="1" applyFill="1" applyBorder="1" applyAlignment="1" applyProtection="1">
      <x:protection locked="1" hidden="0"/>
    </x:xf>
    <x:xf numFmtId="0" fontId="15" fillId="0" borderId="48" applyNumberFormat="1" applyFill="1" applyBorder="1" applyAlignment="1" applyProtection="1">
      <x:protection locked="1" hidden="0"/>
    </x:xf>
    <x:xf numFmtId="0" fontId="20" fillId="0" borderId="20" applyNumberFormat="1" applyFill="1" applyBorder="1" applyAlignment="1" applyProtection="1">
      <x:protection locked="1" hidden="0"/>
    </x:xf>
  </x:cellStyleXfs>
  <x:cellXfs count="273">
    <x:xf numFmtId="0" fontId="0" fillId="0" borderId="0" xfId="0"/>
    <x:xf numFmtId="0" fontId="1" fillId="0" borderId="0" xfId="0" applyFont="1"/>
    <x:xf numFmtId="0" fontId="2" fillId="0" borderId="0" xfId="0" applyFont="1"/>
    <x:xf numFmtId="0" fontId="0" fillId="0" borderId="0" xfId="0" applyAlignment="1">
      <x:alignment horizontal="center" vertical="center"/>
    </x:xf>
    <x:xf numFmtId="164" fontId="0" fillId="0" borderId="0" xfId="0" applyNumberFormat="1" applyAlignment="1">
      <x:alignment horizontal="center" vertical="center"/>
    </x:xf>
    <x:xf numFmtId="0" fontId="3" fillId="0" borderId="0" xfId="0" applyFont="1" applyAlignment="1">
      <x:alignment horizontal="center" vertical="center" wrapText="1"/>
    </x:xf>
    <x:xf numFmtId="0" fontId="3" fillId="0" borderId="0" xfId="0" applyFont="1" applyAlignment="1">
      <x:alignment wrapText="1"/>
    </x:xf>
    <x:xf numFmtId="0" fontId="4" fillId="0" borderId="0" xfId="0" applyFont="1" applyAlignment="1">
      <x:alignment horizontal="right"/>
    </x:xf>
    <x:xf numFmtId="1" fontId="3" fillId="0" borderId="0" xfId="0" applyNumberFormat="1" applyFont="1" applyAlignment="1">
      <x:alignment horizontal="center" vertical="center" wrapText="1"/>
    </x:xf>
    <x:xf numFmtId="1" fontId="0" fillId="0" borderId="0" xfId="0" applyNumberFormat="1" applyAlignment="1">
      <x:alignment horizontal="center" vertical="center"/>
    </x:xf>
    <x:xf numFmtId="0" fontId="3" fillId="0" borderId="0" xfId="0" applyFont="1" applyAlignment="1">
      <x:alignment horizontal="center" vertical="center"/>
    </x:xf>
    <x:xf numFmtId="0" fontId="3" fillId="0" borderId="0" xfId="0" applyFont="1"/>
    <x:xf numFmtId="0" fontId="0" fillId="4" borderId="0" xfId="0" applyFill="1" applyAlignment="1">
      <x:alignment horizontal="center" vertical="center"/>
    </x:xf>
    <x:xf numFmtId="164" fontId="0" fillId="5" borderId="0" xfId="0" applyNumberFormat="1" applyFill="1" applyAlignment="1">
      <x:alignment horizontal="center" vertical="center"/>
    </x:xf>
    <x:xf numFmtId="0" fontId="6" fillId="0" borderId="0" xfId="0" applyFont="1" applyAlignment="1">
      <x:alignment vertical="center" wrapText="1"/>
    </x:xf>
    <x:xf numFmtId="0" fontId="6" fillId="0" borderId="0" xfId="0" applyFont="1" applyAlignment="1">
      <x:alignment wrapText="1"/>
    </x:xf>
    <x:xf numFmtId="0" fontId="8" fillId="2" borderId="0" xfId="0" applyFont="1" applyFill="1"/>
    <x:xf numFmtId="0" fontId="0" fillId="2" borderId="0" xfId="0" applyFill="1" applyAlignment="1">
      <x:alignment horizontal="center"/>
    </x:xf>
    <x:xf numFmtId="0" fontId="0" fillId="2" borderId="0" xfId="0" applyFill="1" applyAlignment="1">
      <x:alignment horizontal="right"/>
    </x:xf>
    <x:xf numFmtId="0" fontId="0" fillId="0" borderId="0" xfId="0" applyAlignment="1">
      <x:alignment horizontal="right"/>
    </x:xf>
    <x:xf numFmtId="0" fontId="9" fillId="2" borderId="0" xfId="0" applyFont="1" applyFill="1" applyAlignment="1">
      <x:alignment horizontal="center"/>
    </x:xf>
    <x:xf numFmtId="0" fontId="0" fillId="0" borderId="0" xfId="0" applyAlignment="1">
      <x:alignment horizontal="center"/>
    </x:xf>
    <x:xf numFmtId="0" fontId="3" fillId="0" borderId="2" xfId="0" applyFont="1" applyBorder="1" applyAlignment="1">
      <x:alignment horizontal="center"/>
    </x:xf>
    <x:xf numFmtId="0" fontId="3" fillId="0" borderId="3" xfId="0" applyFont="1" applyBorder="1" applyAlignment="1">
      <x:alignment horizontal="center"/>
    </x:xf>
    <x:xf numFmtId="0" fontId="3" fillId="0" borderId="4" xfId="0" applyFont="1" applyBorder="1" applyAlignment="1">
      <x:alignment horizontal="center"/>
    </x:xf>
    <x:xf numFmtId="0" fontId="0" fillId="0" borderId="6" xfId="0" applyBorder="1" applyAlignment="1">
      <x:alignment horizontal="right"/>
    </x:xf>
    <x:xf numFmtId="0" fontId="0" fillId="0" borderId="11" xfId="0" applyBorder="1" applyAlignment="1">
      <x:alignment horizontal="right"/>
    </x:xf>
    <x:xf numFmtId="0" fontId="0" fillId="0" borderId="7" xfId="0" applyBorder="1"/>
    <x:xf numFmtId="0" fontId="3" fillId="0" borderId="12" xfId="0" applyFont="1" applyBorder="1"/>
    <x:xf numFmtId="0" fontId="3" fillId="0" borderId="13" xfId="0" applyFont="1" applyBorder="1" applyAlignment="1">
      <x:alignment horizontal="center"/>
    </x:xf>
    <x:xf numFmtId="0" fontId="3" fillId="0" borderId="14" xfId="0" applyFont="1" applyBorder="1" applyAlignment="1">
      <x:alignment horizontal="center"/>
    </x:xf>
    <x:xf numFmtId="0" fontId="3" fillId="0" borderId="15" xfId="0" applyFont="1" applyBorder="1" applyAlignment="1">
      <x:alignment horizontal="center"/>
    </x:xf>
    <x:xf numFmtId="0" fontId="0" fillId="0" borderId="16" xfId="0" applyBorder="1" applyAlignment="1">
      <x:alignment horizontal="right"/>
    </x:xf>
    <x:xf numFmtId="165" fontId="0" fillId="0" borderId="8" xfId="0" applyNumberFormat="1" applyBorder="1" applyAlignment="1">
      <x:alignment horizontal="center"/>
    </x:xf>
    <x:xf numFmtId="165" fontId="0" fillId="0" borderId="9" xfId="0" applyNumberFormat="1" applyBorder="1" applyAlignment="1">
      <x:alignment horizontal="center"/>
    </x:xf>
    <x:xf numFmtId="0" fontId="0" fillId="0" borderId="11" xfId="0" applyBorder="1"/>
    <x:xf numFmtId="0" fontId="0" fillId="0" borderId="12" xfId="0" applyBorder="1"/>
    <x:xf numFmtId="165" fontId="0" fillId="0" borderId="13" xfId="0" applyNumberFormat="1" applyBorder="1" applyAlignment="1">
      <x:alignment horizontal="center"/>
    </x:xf>
    <x:xf numFmtId="165" fontId="0" fillId="0" borderId="14" xfId="0" applyNumberFormat="1" applyBorder="1" applyAlignment="1">
      <x:alignment horizontal="center"/>
    </x:xf>
    <x:xf numFmtId="165" fontId="0" fillId="0" borderId="15" xfId="0" applyNumberFormat="1" applyBorder="1" applyAlignment="1">
      <x:alignment horizontal="center"/>
    </x:xf>
    <x:xf numFmtId="0" fontId="0" fillId="0" borderId="16" xfId="0" applyBorder="1"/>
    <x:xf numFmtId="0" fontId="0" fillId="0" borderId="17" xfId="0" applyBorder="1"/>
    <x:xf numFmtId="0" fontId="0" fillId="7" borderId="17" xfId="0" applyFill="1" applyBorder="1"/>
    <x:xf numFmtId="0" fontId="0" fillId="7" borderId="11" xfId="0" applyFill="1" applyBorder="1"/>
    <x:xf numFmtId="0" fontId="0" fillId="6" borderId="11" xfId="0" applyFill="1" applyBorder="1"/>
    <x:xf numFmtId="0" fontId="0" fillId="0" borderId="20" xfId="0" applyBorder="1"/>
    <x:xf numFmtId="0" fontId="0" fillId="0" borderId="21" xfId="0" applyBorder="1" applyAlignment="1">
      <x:alignment horizontal="center"/>
    </x:xf>
    <x:xf numFmtId="0" fontId="3" fillId="8" borderId="22" xfId="0" applyFont="1" applyFill="1" applyBorder="1"/>
    <x:xf numFmtId="0" fontId="3" fillId="0" borderId="0" xfId="0" applyFont="1" applyAlignment="1">
      <x:alignment horizontal="right"/>
    </x:xf>
    <x:xf numFmtId="0" fontId="0" fillId="9" borderId="0" xfId="0" applyFill="1" applyAlignment="1">
      <x:alignment horizontal="center"/>
    </x:xf>
    <x:xf numFmtId="0" fontId="0" fillId="9" borderId="0" xfId="0" applyFill="1" applyAlignment="1">
      <x:alignment horizontal="right"/>
    </x:xf>
    <x:xf numFmtId="0" fontId="5" fillId="0" borderId="0" xfId="0" applyFont="1" applyAlignment="1">
      <x:alignment horizontal="center"/>
    </x:xf>
    <x:xf numFmtId="164" fontId="3" fillId="0" borderId="0" xfId="0" applyNumberFormat="1" applyFont="1" applyAlignment="1">
      <x:alignment horizontal="center"/>
    </x:xf>
    <x:xf numFmtId="2" fontId="3" fillId="0" borderId="0" xfId="0" applyNumberFormat="1" applyFont="1" applyAlignment="1">
      <x:alignment horizontal="center" vertical="center"/>
    </x:xf>
    <x:xf numFmtId="164" fontId="3" fillId="0" borderId="0" xfId="0" applyNumberFormat="1" applyFont="1" applyAlignment="1">
      <x:alignment horizontal="center" vertical="center"/>
    </x:xf>
    <x:xf numFmtId="0" fontId="0" fillId="0" borderId="8" xfId="0" applyBorder="1" applyAlignment="1">
      <x:alignment horizontal="center"/>
    </x:xf>
    <x:xf numFmtId="0" fontId="0" fillId="0" borderId="9" xfId="0" applyBorder="1" applyAlignment="1">
      <x:alignment horizontal="center"/>
    </x:xf>
    <x:xf numFmtId="0" fontId="0" fillId="8" borderId="11" xfId="0" applyFill="1" applyBorder="1"/>
    <x:xf numFmtId="0" fontId="5" fillId="8" borderId="21" xfId="0" applyFont="1" applyFill="1" applyBorder="1" applyAlignment="1">
      <x:alignment horizontal="left"/>
    </x:xf>
    <x:xf numFmtId="0" fontId="3" fillId="0" borderId="23" xfId="0" applyFont="1" applyBorder="1" applyAlignment="1">
      <x:alignment horizontal="center"/>
    </x:xf>
    <x:xf numFmtId="0" fontId="0" fillId="0" borderId="24" xfId="0" applyBorder="1" applyAlignment="1">
      <x:alignment horizontal="center"/>
    </x:xf>
    <x:xf numFmtId="0" fontId="3" fillId="0" borderId="25" xfId="0" applyFont="1" applyBorder="1" applyAlignment="1">
      <x:alignment horizontal="center"/>
    </x:xf>
    <x:xf numFmtId="165" fontId="0" fillId="0" borderId="0" xfId="0" applyNumberFormat="1" applyAlignment="1">
      <x:alignment horizontal="center"/>
    </x:xf>
    <x:xf numFmtId="1" fontId="0" fillId="0" borderId="24" xfId="0" applyNumberFormat="1" applyBorder="1" applyAlignment="1">
      <x:alignment horizontal="center"/>
    </x:xf>
    <x:xf numFmtId="1" fontId="0" fillId="0" borderId="25" xfId="0" applyNumberFormat="1" applyBorder="1" applyAlignment="1">
      <x:alignment horizontal="center"/>
    </x:xf>
    <x:xf numFmtId="0" fontId="0" fillId="0" borderId="11" xfId="0" applyBorder="1" applyAlignment="1">
      <x:alignment horizontal="center"/>
    </x:xf>
    <x:xf numFmtId="0" fontId="0" fillId="7" borderId="0" xfId="0" applyFill="1"/>
    <x:xf numFmtId="165" fontId="0" fillId="7" borderId="0" xfId="0" applyNumberFormat="1" applyFill="1" applyAlignment="1">
      <x:alignment horizontal="center"/>
    </x:xf>
    <x:xf numFmtId="167" fontId="0" fillId="0" borderId="0" xfId="0" applyNumberFormat="1" applyAlignment="1">
      <x:alignment horizontal="center"/>
    </x:xf>
    <x:xf numFmtId="0" fontId="0" fillId="0" borderId="22" xfId="0" applyBorder="1" applyAlignment="1">
      <x:alignment horizontal="center"/>
    </x:xf>
    <x:xf numFmtId="0" fontId="11" fillId="0" borderId="12" xfId="0" applyFont="1" applyBorder="1"/>
    <x:xf numFmtId="0" fontId="12" fillId="0" borderId="0" xfId="0" applyFont="1" applyAlignment="1">
      <x:alignment horizontal="center"/>
    </x:xf>
    <x:xf numFmtId="0" fontId="12" fillId="0" borderId="0" xfId="0" applyFont="1"/>
    <x:xf numFmtId="0" fontId="4" fillId="0" borderId="0" xfId="0" applyFont="1" applyAlignment="1">
      <x:alignment horizontal="left"/>
    </x:xf>
    <x:xf numFmtId="0" fontId="0" fillId="0" borderId="0" xfId="0" applyAlignment="1">
      <x:alignment vertical="center"/>
    </x:xf>
    <x:xf numFmtId="0" fontId="3" fillId="0" borderId="32" xfId="0" applyFont="1" applyBorder="1" applyAlignment="1">
      <x:alignment horizontal="right" vertical="center"/>
    </x:xf>
    <x:xf numFmtId="0" fontId="3" fillId="0" borderId="30" xfId="0" applyFont="1" applyBorder="1" applyAlignment="1">
      <x:alignment horizontal="right"/>
    </x:xf>
    <x:xf numFmtId="0" fontId="3" fillId="0" borderId="30" xfId="0" applyFont="1" applyBorder="1" applyAlignment="1">
      <x:alignment horizontal="right" vertical="center"/>
    </x:xf>
    <x:xf numFmtId="0" fontId="3" fillId="0" borderId="31" xfId="0" applyFont="1" applyBorder="1" applyAlignment="1">
      <x:alignment horizontal="right" vertical="center"/>
    </x:xf>
    <x:xf numFmtId="0" fontId="0" fillId="10" borderId="0" xfId="0" applyFill="1" applyAlignment="1">
      <x:alignment horizontal="left" vertical="center"/>
    </x:xf>
    <x:xf numFmtId="0" fontId="0" fillId="11" borderId="0" xfId="0" applyFill="1" applyAlignment="1">
      <x:alignment horizontal="center" vertical="center"/>
    </x:xf>
    <x:xf numFmtId="0" fontId="0" fillId="12" borderId="0" xfId="0" applyFill="1" applyAlignment="1">
      <x:alignment horizontal="left" vertical="center"/>
    </x:xf>
    <x:xf numFmtId="0" fontId="0" fillId="0" borderId="0" xfId="0" applyAlignment="1">
      <x:alignment horizontal="left" vertical="center"/>
    </x:xf>
    <x:xf numFmtId="164" fontId="3" fillId="13" borderId="0" xfId="0" applyNumberFormat="1" applyFont="1" applyFill="1" applyAlignment="1">
      <x:alignment horizontal="center" vertical="center"/>
    </x:xf>
    <x:xf numFmtId="1" fontId="3" fillId="13" borderId="0" xfId="0" applyNumberFormat="1" applyFont="1" applyFill="1" applyAlignment="1">
      <x:alignment horizontal="center" vertical="center"/>
    </x:xf>
    <x:xf numFmtId="0" fontId="5" fillId="0" borderId="0" xfId="0" applyFont="1"/>
    <x:xf numFmtId="0" fontId="3" fillId="0" borderId="27" xfId="0" applyFont="1" applyBorder="1" applyAlignment="1">
      <x:alignment horizontal="center" vertical="center" wrapText="1"/>
    </x:xf>
    <x:xf numFmtId="0" fontId="3" fillId="0" borderId="28" xfId="0" applyFont="1" applyBorder="1" applyAlignment="1">
      <x:alignment horizontal="center" vertical="center" wrapText="1"/>
    </x:xf>
    <x:xf numFmtId="1" fontId="3" fillId="0" borderId="28" xfId="0" applyNumberFormat="1" applyFont="1" applyBorder="1" applyAlignment="1">
      <x:alignment horizontal="center" vertical="center" wrapText="1"/>
    </x:xf>
    <x:xf numFmtId="1" fontId="3" fillId="0" borderId="29" xfId="0" applyNumberFormat="1" applyFont="1" applyBorder="1" applyAlignment="1">
      <x:alignment horizontal="center" vertical="center" wrapText="1"/>
    </x:xf>
    <x:xf numFmtId="0" fontId="3" fillId="0" borderId="0" xfId="0" applyFont="1" applyAlignment="1">
      <x:alignment horizontal="center"/>
    </x:xf>
    <x:xf numFmtId="0" fontId="16" fillId="0" borderId="0" xfId="0" applyFont="1" applyAlignment="1">
      <x:alignment horizontal="center"/>
    </x:xf>
    <x:xf numFmtId="14" fontId="0" fillId="0" borderId="0" xfId="0" applyNumberFormat="1" applyAlignment="1">
      <x:alignment horizontal="center"/>
    </x:xf>
    <x:xf numFmtId="0" fontId="11" fillId="0" borderId="9" xfId="0" applyFont="1" applyBorder="1" applyAlignment="1">
      <x:alignment horizontal="center" vertical="center"/>
    </x:xf>
    <x:xf numFmtId="0" fontId="0" fillId="0" borderId="9" xfId="0" applyBorder="1" applyAlignment="1">
      <x:alignment horizontal="center" vertical="center"/>
    </x:xf>
    <x:xf numFmtId="1" fontId="0" fillId="0" borderId="8" xfId="0" applyNumberFormat="1" applyBorder="1" applyAlignment="1">
      <x:alignment horizontal="center"/>
    </x:xf>
    <x:xf numFmtId="166" fontId="0" fillId="0" borderId="19" xfId="1" applyNumberFormat="1" applyFont="1" applyBorder="1" applyAlignment="1">
      <x:alignment horizontal="center" vertical="center"/>
    </x:xf>
    <x:xf numFmtId="166" fontId="0" fillId="0" borderId="9" xfId="1" applyNumberFormat="1" applyFont="1" applyBorder="1" applyAlignment="1">
      <x:alignment horizontal="center" vertical="center"/>
    </x:xf>
    <x:xf numFmtId="166" fontId="0" fillId="0" borderId="9" xfId="1" applyNumberFormat="1" applyFont="1" applyBorder="1" applyAlignment="1" applyProtection="1">
      <x:alignment horizontal="center" vertical="center"/>
      <x:protection locked="0"/>
    </x:xf>
    <x:xf numFmtId="1" fontId="0" fillId="0" borderId="13" xfId="0" applyNumberFormat="1" applyBorder="1" applyAlignment="1">
      <x:alignment horizontal="center"/>
    </x:xf>
    <x:xf numFmtId="166" fontId="0" fillId="0" borderId="15" xfId="1" applyNumberFormat="1" applyFont="1" applyBorder="1" applyAlignment="1">
      <x:alignment horizontal="center" vertical="center"/>
    </x:xf>
    <x:xf numFmtId="0" fontId="3" fillId="0" borderId="21" xfId="0" applyFont="1" applyBorder="1" applyAlignment="1">
      <x:alignment horizontal="center" vertical="center"/>
    </x:xf>
    <x:xf numFmtId="0" fontId="0" fillId="0" borderId="5" xfId="0" applyBorder="1" applyAlignment="1">
      <x:alignment horizontal="center"/>
    </x:xf>
    <x:xf numFmtId="0" fontId="3" fillId="0" borderId="10" xfId="0" applyFont="1" applyBorder="1" applyAlignment="1">
      <x:alignment horizontal="center"/>
    </x:xf>
    <x:xf numFmtId="0" fontId="3" fillId="2" borderId="0" xfId="0" applyFont="1" applyFill="1"/>
    <x:xf numFmtId="0" fontId="10" fillId="0" borderId="1" xfId="0" applyFont="1" applyBorder="1"/>
    <x:xf numFmtId="0" fontId="10" fillId="0" borderId="3" xfId="0" applyFont="1" applyBorder="1"/>
    <x:xf numFmtId="0" fontId="10" fillId="0" borderId="6" xfId="0" applyFont="1" applyBorder="1"/>
    <x:xf numFmtId="0" fontId="10" fillId="0" borderId="17" xfId="0" applyFont="1" applyBorder="1"/>
    <x:xf numFmtId="0" fontId="10" fillId="0" borderId="0" xfId="0" applyFont="1"/>
    <x:xf numFmtId="0" fontId="10" fillId="0" borderId="11" xfId="0" applyFont="1" applyBorder="1"/>
    <x:xf numFmtId="0" fontId="0" fillId="0" borderId="21" xfId="0" applyBorder="1" applyAlignment="1">
      <x:alignment horizontal="right"/>
    </x:xf>
    <x:xf numFmtId="0" fontId="0" fillId="0" borderId="9" xfId="0" applyBorder="1" applyAlignment="1">
      <x:alignment horizontal="right" vertical="center"/>
    </x:xf>
    <x:xf numFmtId="0" fontId="3" fillId="0" borderId="21" xfId="0" applyFont="1" applyBorder="1" applyAlignment="1">
      <x:alignment horizontal="right" vertical="center"/>
    </x:xf>
    <x:xf numFmtId="0" fontId="0" fillId="0" borderId="4" xfId="0" applyBorder="1" applyAlignment="1">
      <x:alignment horizontal="center"/>
    </x:xf>
    <x:xf numFmtId="0" fontId="3" fillId="0" borderId="9" xfId="0" applyFont="1" applyBorder="1" applyAlignment="1">
      <x:alignment horizontal="center"/>
    </x:xf>
    <x:xf numFmtId="0" fontId="0" fillId="0" borderId="17" xfId="0" applyBorder="1" applyAlignment="1">
      <x:alignment horizontal="right" vertical="center"/>
    </x:xf>
    <x:xf numFmtId="0" fontId="0" fillId="0" borderId="0" xfId="0" applyAlignment="1">
      <x:alignment horizontal="right" vertical="center"/>
    </x:xf>
    <x:xf numFmtId="0" fontId="3" fillId="0" borderId="17" xfId="0" applyFont="1" applyBorder="1" applyAlignment="1">
      <x:alignment horizontal="right" vertical="center"/>
    </x:xf>
    <x:xf numFmtId="0" fontId="3" fillId="0" borderId="0" xfId="0" applyFont="1" applyAlignment="1">
      <x:alignment horizontal="right" vertical="center"/>
    </x:xf>
    <x:xf numFmtId="0" fontId="3" fillId="0" borderId="20" xfId="0" applyFont="1" applyBorder="1" applyAlignment="1">
      <x:alignment horizontal="right" vertical="center"/>
    </x:xf>
    <x:xf numFmtId="0" fontId="5" fillId="0" borderId="1" xfId="0" applyFont="1" applyBorder="1"/>
    <x:xf numFmtId="0" fontId="5" fillId="0" borderId="17" xfId="0" applyFont="1" applyBorder="1"/>
    <x:xf numFmtId="0" fontId="0" fillId="0" borderId="22" xfId="0" applyBorder="1"/>
    <x:xf numFmtId="0" fontId="0" fillId="0" borderId="1" xfId="0" applyBorder="1"/>
    <x:xf numFmtId="0" fontId="0" fillId="0" borderId="3" xfId="0" applyBorder="1" applyAlignment="1">
      <x:alignment horizontal="center"/>
    </x:xf>
    <x:xf numFmtId="0" fontId="3" fillId="0" borderId="3" xfId="0" applyFont="1" applyBorder="1" applyAlignment="1">
      <x:alignment horizontal="right"/>
    </x:xf>
    <x:xf numFmtId="0" fontId="3" fillId="0" borderId="6" xfId="0" applyFont="1" applyBorder="1" applyAlignment="1">
      <x:alignment horizontal="right"/>
    </x:xf>
    <x:xf numFmtId="0" fontId="3" fillId="0" borderId="8" xfId="0" applyFont="1" applyBorder="1" applyAlignment="1">
      <x:alignment horizontal="center"/>
    </x:xf>
    <x:xf numFmtId="0" fontId="0" fillId="13" borderId="1" xfId="0" applyFill="1" applyBorder="1"/>
    <x:xf numFmtId="0" fontId="0" fillId="13" borderId="17" xfId="0" applyFill="1" applyBorder="1"/>
    <x:xf numFmtId="0" fontId="0" fillId="0" borderId="18" xfId="0" applyBorder="1" applyAlignment="1">
      <x:alignment horizontal="center" vertical="center"/>
    </x:xf>
    <x:xf numFmtId="0" fontId="0" fillId="0" borderId="19" xfId="0" applyBorder="1" applyAlignment="1">
      <x:alignment horizontal="center" vertical="center"/>
    </x:xf>
    <x:xf numFmtId="0" fontId="3" fillId="0" borderId="9" xfId="0" applyFont="1" applyBorder="1" applyAlignment="1">
      <x:alignment horizontal="center" vertical="center"/>
    </x:xf>
    <x:xf numFmtId="0" fontId="0" fillId="7" borderId="0" xfId="0" applyFill="1" applyAlignment="1">
      <x:alignment horizontal="left"/>
    </x:xf>
    <x:xf numFmtId="0" fontId="0" fillId="13" borderId="0" xfId="0" applyFill="1" applyAlignment="1">
      <x:alignment horizontal="left"/>
    </x:xf>
    <x:xf numFmtId="0" fontId="5" fillId="8" borderId="0" xfId="0" applyFont="1" applyFill="1" applyAlignment="1">
      <x:alignment horizontal="left"/>
    </x:xf>
    <x:xf numFmtId="0" fontId="3" fillId="0" borderId="42" xfId="0" applyFont="1" applyBorder="1" applyAlignment="1">
      <x:alignment horizontal="center" vertical="center"/>
    </x:xf>
    <x:xf numFmtId="0" fontId="3" fillId="0" borderId="9" xfId="0" applyFont="1" applyBorder="1" applyAlignment="1">
      <x:alignment horizontal="right" vertical="center"/>
    </x:xf>
    <x:xf numFmtId="0" fontId="0" fillId="0" borderId="1" xfId="0" applyBorder="1" applyAlignment="1">
      <x:alignment horizontal="center" vertical="center"/>
    </x:xf>
    <x:xf numFmtId="0" fontId="0" fillId="0" borderId="3" xfId="0" applyBorder="1" applyAlignment="1">
      <x:alignment horizontal="center" vertical="center"/>
    </x:xf>
    <x:xf numFmtId="0" fontId="0" fillId="0" borderId="4" xfId="0" applyBorder="1" applyAlignment="1">
      <x:alignment horizontal="center" vertical="center"/>
    </x:xf>
    <x:xf numFmtId="0" fontId="0" fillId="0" borderId="6" xfId="0" applyBorder="1"/>
    <x:xf numFmtId="0" fontId="3" fillId="0" borderId="42" xfId="0" applyFont="1" applyBorder="1" applyAlignment="1">
      <x:alignment horizontal="right" vertical="center"/>
    </x:xf>
    <x:xf numFmtId="0" fontId="0" fillId="0" borderId="43" xfId="0" applyBorder="1" applyAlignment="1">
      <x:alignment horizontal="center" vertical="center"/>
    </x:xf>
    <x:xf numFmtId="0" fontId="11" fillId="0" borderId="7" xfId="0" applyFont="1" applyBorder="1" applyAlignment="1">
      <x:alignment horizontal="center" vertical="center"/>
    </x:xf>
    <x:xf numFmtId="0" fontId="0" fillId="0" borderId="7" xfId="0" applyBorder="1" applyAlignment="1">
      <x:alignment horizontal="center" vertical="center"/>
    </x:xf>
    <x:xf numFmtId="166" fontId="0" fillId="0" borderId="44" xfId="1" applyNumberFormat="1" applyFont="1" applyBorder="1" applyAlignment="1">
      <x:alignment horizontal="center" vertical="center"/>
    </x:xf>
    <x:xf numFmtId="166" fontId="0" fillId="0" borderId="7" xfId="1" applyNumberFormat="1" applyFont="1" applyBorder="1" applyAlignment="1">
      <x:alignment horizontal="center" vertical="center"/>
    </x:xf>
    <x:xf numFmtId="166" fontId="0" fillId="0" borderId="7" xfId="1" applyNumberFormat="1" applyFont="1" applyBorder="1" applyAlignment="1" applyProtection="1">
      <x:alignment horizontal="center" vertical="center"/>
      <x:protection locked="0"/>
    </x:xf>
    <x:xf numFmtId="166" fontId="0" fillId="0" borderId="12" xfId="1" applyNumberFormat="1" applyFont="1" applyBorder="1" applyAlignment="1">
      <x:alignment horizontal="center" vertical="center"/>
    </x:xf>
    <x:xf numFmtId="0" fontId="6" fillId="0" borderId="0" xfId="0" applyFont="1" applyAlignment="1">
      <x:alignment vertical="center"/>
    </x:xf>
    <x:xf numFmtId="9" fontId="0" fillId="0" borderId="0" xfId="0" applyNumberFormat="1"/>
    <x:xf numFmtId="1" fontId="0" fillId="0" borderId="0" xfId="0" applyNumberFormat="1" applyAlignment="1">
      <x:alignment horizontal="center"/>
    </x:xf>
    <x:xf numFmtId="0" fontId="19" fillId="0" borderId="0" xfId="0" applyFont="1" applyAlignment="1">
      <x:alignment horizontal="left" vertical="center"/>
    </x:xf>
    <x:xf numFmtId="1" fontId="18" fillId="14" borderId="0" xfId="0" applyNumberFormat="1" applyFont="1" applyFill="1" applyAlignment="1">
      <x:alignment horizontal="center" vertical="center"/>
    </x:xf>
    <x:xf numFmtId="1" fontId="18" fillId="15" borderId="0" xfId="0" applyNumberFormat="1" applyFont="1" applyFill="1" applyAlignment="1">
      <x:alignment horizontal="center" vertical="center"/>
    </x:xf>
    <x:xf numFmtId="0" fontId="15" fillId="0" borderId="26" xfId="0" applyFont="1" applyBorder="1"/>
    <x:xf numFmtId="0" fontId="16" fillId="0" borderId="0" xfId="0" applyFont="1"/>
    <x:xf numFmtId="0" fontId="17" fillId="0" borderId="0" xfId="0" applyFont="1" applyAlignment="1">
      <x:alignment wrapText="1"/>
    </x:xf>
    <x:xf numFmtId="0" fontId="3" fillId="2" borderId="0" xfId="0" applyFont="1" applyFill="1" applyProtection="1">
      <x:protection locked="0"/>
    </x:xf>
    <x:xf numFmtId="1" fontId="3" fillId="0" borderId="0" xfId="0" applyNumberFormat="1" applyFont="1" applyAlignment="1" applyProtection="1">
      <x:alignment horizontal="center" vertical="center" wrapText="1"/>
      <x:protection locked="0"/>
    </x:xf>
    <x:xf numFmtId="1" fontId="0" fillId="0" borderId="0" xfId="0" applyNumberFormat="1" applyAlignment="1" applyProtection="1">
      <x:alignment horizontal="center" vertical="center"/>
      <x:protection locked="0"/>
    </x:xf>
    <x:xf numFmtId="1" fontId="0" fillId="4" borderId="0" xfId="0" applyNumberFormat="1" applyFill="1" applyAlignment="1" applyProtection="1">
      <x:alignment horizontal="center" vertical="center"/>
      <x:protection locked="0"/>
    </x:xf>
    <x:xf numFmtId="1" fontId="0" fillId="2" borderId="0" xfId="0" applyNumberFormat="1" applyFill="1" applyAlignment="1" applyProtection="1">
      <x:alignment horizontal="center" vertical="center"/>
      <x:protection locked="0"/>
    </x:xf>
    <x:xf numFmtId="1" fontId="0" fillId="0" borderId="0" xfId="0" applyNumberFormat="1" applyAlignment="1" applyProtection="1">
      <x:alignment horizontal="left" vertical="center"/>
      <x:protection locked="0"/>
    </x:xf>
    <x:xf numFmtId="164" fontId="0" fillId="2" borderId="0" xfId="0" applyNumberFormat="1" applyFill="1" applyAlignment="1" applyProtection="1">
      <x:alignment horizontal="center" vertical="center"/>
      <x:protection locked="0"/>
    </x:xf>
    <x:xf numFmtId="0" fontId="0" fillId="2" borderId="0" xfId="0" applyFill="1" applyProtection="1">
      <x:protection locked="0"/>
    </x:xf>
    <x:xf numFmtId="0" fontId="0" fillId="2" borderId="0" xfId="0" applyFill="1" applyAlignment="1" applyProtection="1">
      <x:alignment horizontal="center"/>
      <x:protection locked="0"/>
    </x:xf>
    <x:xf numFmtId="0" fontId="0" fillId="2" borderId="9" xfId="0" applyFill="1" applyBorder="1" applyAlignment="1" applyProtection="1">
      <x:alignment horizontal="center"/>
      <x:protection locked="0"/>
    </x:xf>
    <x:xf numFmtId="0" fontId="0" fillId="2" borderId="15" xfId="0" applyFill="1" applyBorder="1" applyAlignment="1" applyProtection="1">
      <x:alignment horizontal="center"/>
      <x:protection locked="0"/>
    </x:xf>
    <x:xf numFmtId="0" fontId="0" fillId="3" borderId="33" xfId="0" applyFill="1" applyBorder="1" applyAlignment="1" applyProtection="1">
      <x:alignment horizontal="left" vertical="center"/>
      <x:protection locked="0"/>
    </x:xf>
    <x:xf numFmtId="0" fontId="0" fillId="3" borderId="34" xfId="0" applyFill="1" applyBorder="1" applyAlignment="1" applyProtection="1">
      <x:alignment horizontal="left" vertical="center"/>
      <x:protection locked="0"/>
    </x:xf>
    <x:xf numFmtId="0" fontId="0" fillId="3" borderId="35" xfId="0" applyFill="1" applyBorder="1" applyAlignment="1" applyProtection="1">
      <x:alignment horizontal="left" vertical="center"/>
      <x:protection locked="0"/>
    </x:xf>
    <x:xf numFmtId="0" fontId="0" fillId="0" borderId="3" xfId="0" applyBorder="1"/>
    <x:xf numFmtId="0" fontId="0" fillId="0" borderId="21" xfId="0" applyBorder="1"/>
    <x:xf numFmtId="0" fontId="15" fillId="0" borderId="46" xfId="0" applyFont="1" applyBorder="1"/>
    <x:xf numFmtId="0" fontId="0" fillId="0" borderId="47" xfId="0" applyBorder="1"/>
    <x:xf numFmtId="0" fontId="15" fillId="0" borderId="47" xfId="0" applyFont="1" applyBorder="1"/>
    <x:xf numFmtId="0" fontId="15" fillId="0" borderId="48" xfId="0" applyFont="1" applyBorder="1"/>
    <x:xf numFmtId="0" fontId="3" fillId="0" borderId="49" xfId="0" applyFont="1" applyBorder="1" applyAlignment="1">
      <x:alignment horizontal="center"/>
    </x:xf>
    <x:xf numFmtId="0" fontId="20" fillId="0" borderId="49" xfId="0" applyFont="1" applyBorder="1" applyAlignment="1">
      <x:alignment horizontal="center"/>
    </x:xf>
    <x:xf numFmtId="0" fontId="3" fillId="0" borderId="50" xfId="0" applyFont="1" applyBorder="1" applyAlignment="1">
      <x:alignment horizontal="center"/>
    </x:xf>
    <x:xf numFmtId="0" fontId="0" fillId="0" borderId="48" xfId="0" applyBorder="1"/>
    <x:xf numFmtId="0" fontId="0" fillId="0" borderId="28" xfId="0" applyBorder="1"/>
    <x:xf numFmtId="0" fontId="0" fillId="0" borderId="29" xfId="0" applyBorder="1"/>
    <x:xf numFmtId="0" fontId="3" fillId="0" borderId="51" xfId="0" applyFont="1" applyBorder="1" applyAlignment="1">
      <x:alignment horizontal="center"/>
    </x:xf>
    <x:xf numFmtId="0" fontId="20" fillId="0" borderId="51" xfId="0" applyFont="1" applyBorder="1" applyAlignment="1">
      <x:alignment horizontal="center"/>
    </x:xf>
    <x:xf numFmtId="0" fontId="0" fillId="0" borderId="45" xfId="0" applyBorder="1"/>
    <x:xf numFmtId="0" fontId="3" fillId="0" borderId="52" xfId="0" applyFont="1" applyBorder="1" applyAlignment="1">
      <x:alignment horizontal="center"/>
    </x:xf>
    <x:xf numFmtId="0" fontId="3" fillId="0" borderId="45" xfId="0" applyFont="1" applyBorder="1"/>
    <x:xf numFmtId="0" fontId="20" fillId="0" borderId="20" xfId="0" applyFont="1" applyBorder="1" applyAlignment="1">
      <x:alignment horizontal="center"/>
    </x:xf>
    <x:xf numFmtId="0" fontId="11" fillId="0" borderId="28" xfId="0" applyFont="1" applyBorder="1"/>
    <x:xf numFmtId="0" fontId="0" fillId="0" borderId="53" xfId="0" applyBorder="1"/>
    <x:xf numFmtId="0" fontId="0" fillId="0" borderId="54" xfId="0" applyBorder="1"/>
    <x:xf numFmtId="0" fontId="3" fillId="0" borderId="55" xfId="0" applyFont="1" applyBorder="1"/>
    <x:xf numFmtId="0" fontId="0" fillId="0" borderId="56" xfId="0" applyBorder="1"/>
    <x:xf numFmtId="0" fontId="0" fillId="0" borderId="57" xfId="0" applyBorder="1"/>
    <x:xf numFmtId="0" fontId="0" fillId="0" borderId="30" xfId="0" applyBorder="1"/>
    <x:xf numFmtId="0" fontId="0" fillId="0" borderId="31" xfId="0" applyBorder="1"/>
    <x:xf numFmtId="0" fontId="3" fillId="0" borderId="58" xfId="0" applyFont="1" applyBorder="1"/>
    <x:xf numFmtId="0" fontId="3" fillId="0" borderId="57" xfId="0" applyFont="1" applyBorder="1"/>
    <x:xf numFmtId="0" fontId="0" fillId="0" borderId="0" xfId="0" applyAlignment="1">
      <x:alignment horizontal="center"/>
    </x:xf>
    <x:xf numFmtId="0" fontId="5" fillId="0" borderId="27" xfId="0" applyFont="1" applyBorder="1" applyAlignment="1">
      <x:alignment horizontal="center"/>
    </x:xf>
    <x:xf numFmtId="0" fontId="5" fillId="0" borderId="28" xfId="0" applyFont="1" applyBorder="1" applyAlignment="1">
      <x:alignment horizontal="center"/>
    </x:xf>
    <x:xf numFmtId="0" fontId="5" fillId="0" borderId="29" xfId="0" applyFont="1" applyBorder="1" applyAlignment="1">
      <x:alignment horizontal="center"/>
    </x:xf>
    <x:xf numFmtId="0" fontId="0" fillId="0" borderId="8" xfId="0" applyBorder="1" applyAlignment="1">
      <x:alignment horizontal="center"/>
    </x:xf>
    <x:xf numFmtId="0" fontId="0" fillId="0" borderId="9" xfId="0" applyBorder="1" applyAlignment="1">
      <x:alignment horizontal="center"/>
    </x:xf>
    <x:xf numFmtId="0" fontId="5" fillId="0" borderId="0" xfId="0" applyFont="1" applyAlignment="1">
      <x:alignment horizontal="center"/>
    </x:xf>
    <x:xf numFmtId="0" fontId="0" fillId="3" borderId="39" xfId="0" applyFill="1" applyBorder="1" applyAlignment="1" applyProtection="1">
      <x:alignment horizontal="left"/>
      <x:protection locked="0"/>
    </x:xf>
    <x:xf numFmtId="0" fontId="0" fillId="3" borderId="40" xfId="0" applyFill="1" applyBorder="1" applyAlignment="1" applyProtection="1">
      <x:alignment horizontal="left"/>
      <x:protection locked="0"/>
    </x:xf>
    <x:xf numFmtId="0" fontId="0" fillId="3" borderId="41" xfId="0" applyFill="1" applyBorder="1" applyAlignment="1" applyProtection="1">
      <x:alignment horizontal="left"/>
      <x:protection locked="0"/>
    </x:xf>
    <x:xf numFmtId="0" fontId="0" fillId="3" borderId="39" xfId="0" applyFill="1" applyBorder="1" applyAlignment="1" applyProtection="1">
      <x:alignment horizontal="left" vertical="center"/>
      <x:protection locked="0"/>
    </x:xf>
    <x:xf numFmtId="0" fontId="0" fillId="3" borderId="40" xfId="0" applyFill="1" applyBorder="1" applyAlignment="1" applyProtection="1">
      <x:alignment horizontal="left" vertical="center"/>
      <x:protection locked="0"/>
    </x:xf>
    <x:xf numFmtId="0" fontId="0" fillId="3" borderId="41" xfId="0" applyFill="1" applyBorder="1" applyAlignment="1" applyProtection="1">
      <x:alignment horizontal="left" vertical="center"/>
      <x:protection locked="0"/>
    </x:xf>
    <x:xf numFmtId="0" fontId="0" fillId="3" borderId="36" xfId="0" applyFill="1" applyBorder="1" applyAlignment="1" applyProtection="1">
      <x:alignment horizontal="left" vertical="center"/>
      <x:protection locked="0"/>
    </x:xf>
    <x:xf numFmtId="0" fontId="0" fillId="3" borderId="37" xfId="0" applyFill="1" applyBorder="1" applyAlignment="1" applyProtection="1">
      <x:alignment horizontal="left" vertical="center"/>
      <x:protection locked="0"/>
    </x:xf>
    <x:xf numFmtId="0" fontId="0" fillId="3" borderId="38" xfId="0" applyFill="1" applyBorder="1" applyAlignment="1" applyProtection="1">
      <x:alignment horizontal="left" vertical="center"/>
      <x:protection locked="0"/>
    </x:xf>
    <x:xf numFmtId="0" fontId="6" fillId="0" borderId="0" xfId="0" applyFont="1" applyAlignment="1">
      <x:alignment vertical="center"/>
    </x:xf>
    <x:xf numFmtId="0" fontId="0" fillId="0" borderId="0" xfId="0"/>
    <x:xf numFmtId="0" fontId="4" fillId="0" borderId="27" xfId="0" applyFont="1" applyBorder="1" applyAlignment="1">
      <x:alignment horizontal="left"/>
    </x:xf>
    <x:xf numFmtId="0" fontId="4" fillId="0" borderId="28" xfId="0" applyFont="1" applyBorder="1" applyAlignment="1">
      <x:alignment horizontal="left"/>
    </x:xf>
    <x:xf numFmtId="0" fontId="4" fillId="0" borderId="29" xfId="0" applyFont="1" applyBorder="1" applyAlignment="1">
      <x:alignment horizontal="left"/>
    </x:xf>
    <x:xf numFmtId="1" fontId="18" fillId="14" borderId="0" xfId="0" applyNumberFormat="1" applyFill="0" applyBorder="0" applyAlignment="1" applyProtection="1">
      <x:alignment horizontal="center" vertical="center" textRotation="0" wrapText="0" indent="0" relativeIndent="0" justifyLastLine="0" shrinkToFit="0" readingOrder="0"/>
      <x:protection locked="1" hidden="0"/>
    </x:xf>
    <x:xf numFmtId="1" fontId="18" fillId="15"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10" borderId="0" xfId="0" applyNumberFormat="1" applyFill="0" applyBorder="0" applyAlignment="1" applyProtection="1">
      <x:alignment horizontal="left"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12" borderId="0" xfId="0" applyNumberFormat="1" applyFill="0" applyBorder="0" applyAlignment="1" applyProtection="1">
      <x:alignment horizontal="left" vertical="center" textRotation="0" wrapText="0" indent="0" relativeIndent="0" justifyLastLine="0" shrinkToFit="0" readingOrder="0"/>
      <x:protection locked="1" hidden="0"/>
    </x:xf>
    <x:xf numFmtId="1" fontId="3" fillId="1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3" borderId="33"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4"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5"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9"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40"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41"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39"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40"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41" xfId="0" applyNumberFormat="1" applyFill="0" applyBorder="1" applyAlignment="1" applyProtection="1">
      <x:alignment horizontal="left" vertical="center" textRotation="0" wrapText="0" indent="0" relativeIndent="0" justifyLastLine="0" shrinkToFit="0" readingOrder="0"/>
      <x:protection locked="0" hidden="0"/>
    </x:xf>
    <x:xf numFmtId="164" fontId="3" fillId="1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3" borderId="36"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7"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8" xfId="0" applyNumberFormat="1" applyFill="0" applyBorder="1" applyAlignment="1" applyProtection="1">
      <x:alignment horizontal="left" vertical="center" textRotation="0" wrapText="0" indent="0" relativeIndent="0" justifyLastLine="0" shrinkToFit="0" readingOrder="0"/>
      <x:protection locked="0"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0" fillId="4" borderId="0" xfId="0" applyNumberFormat="1" applyFill="0" applyBorder="0" applyAlignment="1" applyProtection="1">
      <x:alignment horizontal="center" vertical="center" textRotation="0" wrapText="0" indent="0" relativeIndent="0" justifyLastLine="0" shrinkToFit="0" readingOrder="0"/>
      <x:protection locked="0" hidden="0"/>
    </x:xf>
    <x:xf numFmtId="1" fontId="0" fillId="2" borderId="0" xfId="0" applyNumberFormat="1" applyFill="0" applyBorder="0" applyAlignment="1" applyProtection="1">
      <x:alignment horizontal="center" vertical="center" textRotation="0" wrapText="0" indent="0" relativeIndent="0" justifyLastLine="0" shrinkToFit="0" readingOrder="0"/>
      <x:protection locked="0"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0" fillId="13"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9" xfId="0" applyNumberFormat="1" applyFill="0" applyBorder="1" applyAlignment="1" applyProtection="1">
      <x:alignment horizontal="center" vertical="bottom" textRotation="0" wrapText="0" indent="0" relativeIndent="0" justifyLastLine="0" shrinkToFit="0" readingOrder="0"/>
      <x:protection locked="0" hidden="0"/>
    </x:xf>
    <x:xf numFmtId="0" fontId="0" fillId="9" borderId="0" xfId="0" applyNumberFormat="1" applyFill="0" applyBorder="0" applyAlignment="1" applyProtection="1">
      <x:alignment horizontal="right" vertical="bottom" textRotation="0" wrapText="0" indent="0" relativeIndent="0" justifyLastLine="0" shrinkToFit="0" readingOrder="0"/>
      <x:protection locked="1" hidden="0"/>
    </x:xf>
    <x:xf numFmtId="168" fontId="0" fillId="2" borderId="9" xfId="0" applyNumberFormat="1" applyFill="0" applyBorder="1" applyAlignment="1" applyProtection="1">
      <x:alignment horizontal="center" vertical="bottom" textRotation="0" wrapText="0" indent="0" relativeIndent="0" justifyLastLine="0" shrinkToFit="0" readingOrder="0"/>
      <x:protection locked="0" hidden="0"/>
    </x:xf>
    <x:xf numFmtId="164" fontId="0" fillId="2" borderId="0" xfId="0" applyNumberFormat="1" applyFill="0" applyBorder="0" applyAlignment="1" applyProtection="1">
      <x:alignment horizontal="center" vertical="center" textRotation="0" wrapText="0" indent="0" relativeIndent="0" justifyLastLine="0" shrinkToFit="0" readingOrder="0"/>
      <x:protection locked="0" hidden="0"/>
    </x:xf>
    <x:xf numFmtId="0" fontId="0" fillId="7"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7"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6"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8"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21" xfId="0" applyNumberFormat="1" applyFill="0" applyBorder="1" applyAlignment="1" applyProtection="1">
      <x:alignment horizontal="left" vertical="bottom" textRotation="0" wrapText="0" indent="0" relativeIndent="0" justifyLastLine="0" shrinkToFit="0" readingOrder="0"/>
      <x:protection locked="1" hidden="0"/>
    </x:xf>
    <x:xf numFmtId="0" fontId="3" fillId="8" borderId="2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0" hidden="0"/>
    </x:xf>
    <x:xf numFmtId="0" fontId="0" fillId="1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15" xfId="0" applyNumberFormat="1" applyFill="0" applyBorder="1" applyAlignment="1" applyProtection="1">
      <x:alignment horizontal="center" vertical="bottom" textRotation="0" wrapText="0" indent="0" relativeIndent="0" justifyLastLine="0" shrinkToFit="0" readingOrder="0"/>
      <x:protection locked="0"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3">
    <x:cellStyle name="Komma" xfId="1" builtinId="3"/>
    <x:cellStyle name="Komma 2" xfId="2" xr:uid="{674963B1-D99A-49BB-B730-BDA98AAABF20}"/>
    <x:cellStyle name="Standaard" xfId="0" builtinId="0"/>
  </x:cellStyles>
  <x:dxfs count="4">
    <x:dxf>
      <x:font>
        <x:b/>
      </x:font>
      <x:fill>
        <x:patternFill patternType="solid">
          <x:fgColor auto="1"/>
          <x:bgColor rgb="FFFF0000"/>
        </x:patternFill>
      </x:fill>
    </x:dxf>
    <x:dxf>
      <x:font>
        <x:color rgb="FF006100"/>
      </x:font>
      <x:fill>
        <x:patternFill patternType="solid">
          <x:fgColor auto="1"/>
          <x:bgColor rgb="FFC6EFCE"/>
        </x:patternFill>
      </x:fill>
    </x:dxf>
    <x:dxf>
      <x:font>
        <x:color rgb="FF9C0006"/>
      </x:font>
      <x:fill>
        <x:patternFill patternType="solid">
          <x:fgColor auto="1"/>
          <x:bgColor rgb="FFFFC7CE"/>
        </x:patternFill>
      </x:fill>
    </x:dxf>
    <x:dxf>
      <x:fill>
        <x:patternFill patternType="solid">
          <x:fgColor auto="1"/>
          <x:bgColor theme="4" tint="0.3999450666829432"/>
        </x:patternFill>
      </x:fill>
    </x:dxf>
  </x:dxfs>
  <x:tableStyles count="0" defaultTableStyle="TableStyleMedium2" defaultPivotStyle="PivotStyleLight16"/>
  <x:colors>
    <x:mruColors>
      <x:color rgb="FF00FF00"/>
      <x:color rgb="FF7C00A5"/>
      <x:color rgb="FF4C1300"/>
      <x:color rgb="FF004C39"/>
      <x:color rgb="FF4CFFFF"/>
      <x:color rgb="FF33CCCC"/>
      <x:color rgb="FFFF7C80"/>
      <x:color rgb="FF009900"/>
      <x:color rgb="FFFF9900"/>
      <x:color rgb="FF0000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13</xdr:col>
      <xdr:colOff>276225</xdr:colOff>
      <xdr:row>1</xdr:row>
      <xdr:rowOff>257175</xdr:rowOff>
    </xdr:from>
    <xdr:ext cx="4191000" cy="3800475"/>
    <xdr:pic>
      <xdr:nvPicPr>
        <xdr:cNvPr id="1" name="Afbeelding 2"/>
        <xdr:cNvPicPr>
          <a:picLocks noChangeAspect="1"/>
        </xdr:cNvPicPr>
      </xdr:nvPicPr>
      <xdr:blipFill>
        <a:blip r:embed="rId1" cstate="print"/>
        <a:stretch>
          <a:fillRect/>
        </a:stretch>
      </xdr:blipFill>
      <xdr:spPr>
        <a:xfrm>
          <a:off x="0" y="0"/>
          <a:ext cx="4191000" cy="3800475"/>
        </a:xfrm>
        <a:prstGeom prst="rect"/>
      </xdr:spPr>
    </xdr:pic>
    <xdr:clientData/>
  </xdr:oneCellAnchor>
  <xdr:oneCellAnchor>
    <xdr:from>
      <xdr:col>12</xdr:col>
      <xdr:colOff>466725</xdr:colOff>
      <xdr:row>24</xdr:row>
      <xdr:rowOff>180975</xdr:rowOff>
    </xdr:from>
    <xdr:ext cx="8105775" cy="3257550"/>
    <xdr:pic>
      <xdr:nvPicPr>
        <xdr:cNvPr id="2" name="Afbeelding 4"/>
        <xdr:cNvPicPr>
          <a:picLocks noChangeAspect="1"/>
        </xdr:cNvPicPr>
      </xdr:nvPicPr>
      <xdr:blipFill>
        <a:blip r:embed="rId2" cstate="print"/>
        <a:stretch>
          <a:fillRect/>
        </a:stretch>
      </xdr:blipFill>
      <xdr:spPr>
        <a:xfrm>
          <a:off x="0" y="0"/>
          <a:ext cx="8105775" cy="3257550"/>
        </a:xfrm>
        <a:prstGeom prst="rect"/>
      </xdr:spPr>
    </xdr:pic>
    <xdr:clientData/>
  </xdr:oneCellAnchor>
  <xdr:oneCellAnchor>
    <xdr:from>
      <xdr:col>12</xdr:col>
      <xdr:colOff>523875</xdr:colOff>
      <xdr:row>41</xdr:row>
      <xdr:rowOff>104775</xdr:rowOff>
    </xdr:from>
    <xdr:ext cx="8010525" cy="3381375"/>
    <xdr:pic>
      <xdr:nvPicPr>
        <xdr:cNvPr id="3" name="Afbeelding 5"/>
        <xdr:cNvPicPr>
          <a:picLocks noChangeAspect="1"/>
        </xdr:cNvPicPr>
      </xdr:nvPicPr>
      <xdr:blipFill>
        <a:blip r:embed="rId3" cstate="print"/>
        <a:stretch>
          <a:fillRect/>
        </a:stretch>
      </xdr:blipFill>
      <xdr:spPr>
        <a:xfrm>
          <a:off x="0" y="0"/>
          <a:ext cx="8010525" cy="3381375"/>
        </a:xfrm>
        <a:prstGeom prst="rect"/>
      </xdr:spPr>
    </xdr:pic>
    <xdr:clientData/>
  </xdr:oneCellAnchor>
</xdr:wsDr>
</file>

<file path=xl/drawings/drawing2.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53500" cy="1333500"/>
    <xdr:pic>
      <xdr:nvPicPr>
        <xdr:cNvPr id="1" name="Afbeelding 4"/>
        <xdr:cNvPicPr>
          <a:picLocks noChangeAspect="1"/>
        </xdr:cNvPicPr>
      </xdr:nvPicPr>
      <xdr:blipFill>
        <a:blip r:embed="rId1" cstate="print"/>
        <a:stretch>
          <a:fillRect/>
        </a:stretch>
      </xdr:blipFill>
      <xdr:spPr>
        <a:xfrm>
          <a:off x="0" y="0"/>
          <a:ext cx="8953500" cy="1333500"/>
        </a:xfrm>
        <a:prstGeom prst="rect"/>
      </xdr:spPr>
    </xdr:pic>
    <xdr:clientData/>
  </xdr:oneCellAnchor>
  <xdr:oneCellAnchor>
    <xdr:from>
      <xdr:col>23</xdr:col>
      <xdr:colOff>762000</xdr:colOff>
      <xdr:row>47</xdr:row>
      <xdr:rowOff>161925</xdr:rowOff>
    </xdr:from>
    <xdr:ext cx="5676900" cy="1514475"/>
    <xdr:pic>
      <xdr:nvPicPr>
        <xdr:cNvPr id="2" name="Afbeelding 6"/>
        <xdr:cNvPicPr>
          <a:picLocks noChangeAspect="1"/>
        </xdr:cNvPicPr>
      </xdr:nvPicPr>
      <xdr:blipFill>
        <a:blip r:embed="rId2" cstate="print"/>
        <a:stretch>
          <a:fillRect/>
        </a:stretch>
      </xdr:blipFill>
      <xdr:spPr>
        <a:xfrm>
          <a:off x="0" y="0"/>
          <a:ext cx="5676900" cy="1514475"/>
        </a:xfrm>
        <a:prstGeom prst="rect"/>
      </xdr:spPr>
    </xdr:pic>
    <xdr:clientData/>
  </xdr:oneCellAnchor>
  <xdr:twoCellAnchor editAs="oneCell">
    <xdr:from>
      <xdr:col>23</xdr:col>
      <xdr:colOff>762000</xdr:colOff>
      <xdr:row>47</xdr:row>
      <xdr:rowOff>163671</xdr:rowOff>
    </xdr:from>
    <xdr:to>
      <xdr:col>29</xdr:col>
      <xdr:colOff>1330862</xdr:colOff>
      <xdr:row>54</xdr:row>
      <xdr:rowOff>35411</xdr:rowOff>
    </xdr:to>
    <xdr:pic>
      <xdr:nvPicPr>
        <xdr:cNvPr id="3" name="Afbeelding 6">
          <a:extLst>
            <a:ext uri="{FF2B5EF4-FFF2-40B4-BE49-F238E27FC236}">
              <a16:creationId xmlns:a16="http://schemas.microsoft.com/office/drawing/2014/main" id="{F85B343E-562C-472F-82AC-639BC6415A7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277794" y="10372230"/>
          <a:ext cx="5677474" cy="1511384"/>
        </a:xfrm>
        <a:prstGeom prst="rect">
          <a:avLst/>
        </a:prstGeom>
        <a:noFill/>
      </xdr:spPr>
    </xdr:pic>
    <xdr:clientData/>
  </xdr:twoCellAnchor>
</xdr:wsDr>
</file>

<file path=xl/drawings/drawing3.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1314352</xdr:colOff>
      <xdr:row>55</xdr:row>
      <xdr:rowOff>170666</xdr:rowOff>
    </xdr:to>
    <xdr:pic>
      <xdr:nvPicPr>
        <xdr:cNvPr id="3" name="Afbeelding 3">
          <a:extLst>
            <a:ext uri="{FF2B5EF4-FFF2-40B4-BE49-F238E27FC236}">
              <a16:creationId xmlns:a16="http://schemas.microsoft.com/office/drawing/2014/main" id="{9CB1CD22-7EE8-4DA5-B774-FE66862A9C5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4.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1323877</xdr:colOff>
      <xdr:row>55</xdr:row>
      <xdr:rowOff>174476</xdr:rowOff>
    </xdr:to>
    <xdr:pic>
      <xdr:nvPicPr>
        <xdr:cNvPr id="3" name="Afbeelding 3">
          <a:extLst>
            <a:ext uri="{FF2B5EF4-FFF2-40B4-BE49-F238E27FC236}">
              <a16:creationId xmlns:a16="http://schemas.microsoft.com/office/drawing/2014/main" id="{5ACA37CB-6E67-43A3-999B-FE4BFD16FB2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5.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B43632FA-220C-4531-A7AF-60A90EFB813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6.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AEA80796-4D3C-41FA-912D-41B4E813210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7.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1323877</xdr:colOff>
      <xdr:row>55</xdr:row>
      <xdr:rowOff>174476</xdr:rowOff>
    </xdr:to>
    <xdr:pic>
      <xdr:nvPicPr>
        <xdr:cNvPr id="3" name="Afbeelding 3">
          <a:extLst>
            <a:ext uri="{FF2B5EF4-FFF2-40B4-BE49-F238E27FC236}">
              <a16:creationId xmlns:a16="http://schemas.microsoft.com/office/drawing/2014/main" id="{CC4A6733-8933-49C7-8076-99AEF4FF25E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8.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84CBE97F-B60B-4BCB-B1FF-C5399B3EE6A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9.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7F407876-5CD7-4150-824E-E72D5384A86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0.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1323877</xdr:colOff>
      <xdr:row>55</xdr:row>
      <xdr:rowOff>174476</xdr:rowOff>
    </xdr:to>
    <xdr:pic>
      <xdr:nvPicPr>
        <xdr:cNvPr id="3" name="Afbeelding 3">
          <a:extLst>
            <a:ext uri="{FF2B5EF4-FFF2-40B4-BE49-F238E27FC236}">
              <a16:creationId xmlns:a16="http://schemas.microsoft.com/office/drawing/2014/main" id="{D0DE2A1A-EAE3-474D-BED0-1F88BD5307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1.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1DA3BBE0-7B41-431B-8ECA-3208226199F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2.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37535C78-D7EE-4E05-8A15-61FBABEA4D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3.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1"/>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47</xdr:row>
      <xdr:rowOff>161925</xdr:rowOff>
    </xdr:from>
    <xdr:ext cx="5657850" cy="1533525"/>
    <xdr:pic>
      <xdr:nvPicPr>
        <xdr:cNvPr id="2" name="Afbeelding 3"/>
        <xdr:cNvPicPr>
          <a:picLocks noChangeAspect="1"/>
        </xdr:cNvPicPr>
      </xdr:nvPicPr>
      <xdr:blipFill>
        <a:blip r:embed="rId2" cstate="print"/>
        <a:stretch>
          <a:fillRect/>
        </a:stretch>
      </xdr:blipFill>
      <xdr:spPr>
        <a:xfrm>
          <a:off x="0" y="0"/>
          <a:ext cx="5657850" cy="1533525"/>
        </a:xfrm>
        <a:prstGeom prst="rect"/>
      </xdr:spPr>
    </xdr:pic>
    <xdr:clientData/>
  </xdr:oneCellAnchor>
  <xdr:twoCellAnchor editAs="oneCell">
    <xdr:from>
      <xdr:col>23</xdr:col>
      <xdr:colOff>762000</xdr:colOff>
      <xdr:row>47</xdr:row>
      <xdr:rowOff>163671</xdr:rowOff>
    </xdr:from>
    <xdr:to>
      <xdr:col>29</xdr:col>
      <xdr:colOff>1325782</xdr:colOff>
      <xdr:row>55</xdr:row>
      <xdr:rowOff>170666</xdr:rowOff>
    </xdr:to>
    <xdr:pic>
      <xdr:nvPicPr>
        <xdr:cNvPr id="3" name="Afbeelding 3">
          <a:extLst>
            <a:ext uri="{FF2B5EF4-FFF2-40B4-BE49-F238E27FC236}">
              <a16:creationId xmlns:a16="http://schemas.microsoft.com/office/drawing/2014/main" id="{A7B4010C-87B0-413A-823E-F67AF1C641F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oneCellAnchor>
    <xdr:from>
      <xdr:col>7</xdr:col>
      <xdr:colOff>361950</xdr:colOff>
      <xdr:row>5</xdr:row>
      <xdr:rowOff>0</xdr:rowOff>
    </xdr:from>
    <xdr:ext cx="5086350" cy="1847850"/>
    <xdr:pic>
      <xdr:nvPicPr>
        <xdr:cNvPr id="1" name="Afbeelding 15"/>
        <xdr:cNvPicPr>
          <a:picLocks noChangeAspect="1"/>
        </xdr:cNvPicPr>
      </xdr:nvPicPr>
      <xdr:blipFill>
        <a:blip r:embed="rId1" cstate="print"/>
        <a:stretch>
          <a:fillRect/>
        </a:stretch>
      </xdr:blipFill>
      <xdr:spPr>
        <a:xfrm>
          <a:off x="0" y="0"/>
          <a:ext cx="5086350" cy="1847850"/>
        </a:xfrm>
        <a:prstGeom prst="rect"/>
      </xdr:spPr>
    </xdr:pic>
    <xdr:clientData/>
  </xdr:oneCellAnchor>
  <xdr:oneCellAnchor>
    <xdr:from>
      <xdr:col>7</xdr:col>
      <xdr:colOff>342900</xdr:colOff>
      <xdr:row>18</xdr:row>
      <xdr:rowOff>19050</xdr:rowOff>
    </xdr:from>
    <xdr:ext cx="5114925" cy="2057400"/>
    <xdr:pic>
      <xdr:nvPicPr>
        <xdr:cNvPr id="2" name="Afbeelding 16"/>
        <xdr:cNvPicPr>
          <a:picLocks noChangeAspect="1"/>
        </xdr:cNvPicPr>
      </xdr:nvPicPr>
      <xdr:blipFill>
        <a:blip r:embed="rId2" cstate="print"/>
        <a:stretch>
          <a:fillRect/>
        </a:stretch>
      </xdr:blipFill>
      <xdr:spPr>
        <a:xfrm>
          <a:off x="0" y="0"/>
          <a:ext cx="5114925" cy="2057400"/>
        </a:xfrm>
        <a:prstGeom prst="rect"/>
      </xdr:spPr>
    </xdr:pic>
    <xdr:clientData/>
  </xdr:oneCellAnchor>
  <xdr:twoCellAnchor>
    <xdr:from>
      <xdr:col>1</xdr:col>
      <xdr:colOff>476250</xdr:colOff>
      <xdr:row>37</xdr:row>
      <xdr:rowOff>104775</xdr:rowOff>
    </xdr:from>
    <xdr:to>
      <xdr:col>1</xdr:col>
      <xdr:colOff>2686050</xdr:colOff>
      <xdr:row>42</xdr:row>
      <xdr:rowOff>133350</xdr:rowOff>
    </xdr:to>
    <xdr:pic>
      <xdr:nvPicPr>
        <xdr:cNvPr id="3" name="Afbeelding 3"/>
        <xdr:cNvPicPr>
          <a:picLocks noChangeAspect="1"/>
        </xdr:cNvPicPr>
      </xdr:nvPicPr>
      <xdr:blipFill>
        <a:blip r:embed="rId3" cstate="print"/>
        <a:stretch>
          <a:fillRect/>
        </a:stretch>
      </xdr:blipFill>
      <xdr:spPr>
        <a:xfrm>
          <a:off x="0" y="0"/>
          <a:ext cx="2200275" cy="981075"/>
        </a:xfrm>
        <a:prstGeom prst="rect"/>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08A9795-7A05-48CE-9917-3E67416E8634}" mc:Ignorable="x14ac xr xr2 xr3">
  <x:sheetPr>
    <x:tabColor rgb="FFFF0000"/>
    <x:outlinePr summaryBelow="1" summaryRight="1"/>
  </x:sheetPr>
  <x:dimension ref="A2:C6"/>
  <x:sheetViews>
    <x:sheetView topLeftCell="B1" workbookViewId="0">
      <x:selection activeCell="B8" sqref="B8"/>
    </x:sheetView>
  </x:sheetViews>
  <x:sheetFormatPr defaultRowHeight="15" x14ac:dyDescent="0.25"/>
  <x:cols>
    <x:col min="1" max="1" width="16.855469" style="21" customWidth="1"/>
    <x:col min="2" max="2" width="145.140625" style="0" customWidth="1"/>
    <x:col min="3" max="3" width="9.140625" style="21" customWidth="1"/>
  </x:cols>
  <x:sheetData>
    <x:row r="2" spans="1:3" x14ac:dyDescent="0.25">
      <x:c r="A2" s="90" t="s">
        <x:v>0</x:v>
      </x:c>
      <x:c r="B2" s="90" t="s">
        <x:v>1</x:v>
      </x:c>
      <x:c r="C2" s="90" t="s">
        <x:v>2</x:v>
      </x:c>
    </x:row>
    <x:row r="3" spans="1:3" x14ac:dyDescent="0.25">
      <x:c r="A3" s="91" t="s">
        <x:v>3</x:v>
      </x:c>
      <x:c r="B3" s="158" t="s">
        <x:v>4</x:v>
      </x:c>
      <x:c r="C3" s="21" t="s">
        <x:v>5</x:v>
      </x:c>
    </x:row>
    <x:row r="4" spans="1:3" x14ac:dyDescent="0.25">
      <x:c r="A4" s="92">
        <x:v>45839</x:v>
      </x:c>
      <x:c r="B4" s="158" t="s">
        <x:v>6</x:v>
      </x:c>
      <x:c r="C4" s="21" t="s">
        <x:v>7</x:v>
      </x:c>
    </x:row>
    <x:row r="5" spans="1:3" ht="102.75" customHeight="1" x14ac:dyDescent="0.25">
      <x:c r="A5" s="92">
        <x:v>45931</x:v>
      </x:c>
      <x:c r="B5" s="159" t="s">
        <x:v>8</x:v>
      </x:c>
      <x:c r="C5" s="21" t="s">
        <x:v>9</x:v>
      </x:c>
    </x:row>
    <x:row r="6" spans="1:3" ht="45" customHeight="1" x14ac:dyDescent="0.25">
      <x:c r="A6" s="92">
        <x:v>46023</x:v>
      </x:c>
      <x:c r="B6" s="159" t="s">
        <x:v>10</x:v>
      </x:c>
      <x:c r="C6" s="21" t="s">
        <x:v>11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C2CC5DD-1E0E-481F-927C-EC73CD8A3787}" mc:Ignorable="x14ac xr xr2 xr3">
  <x:sheetPr>
    <x:outlinePr summaryBelow="1" summaryRight="1"/>
  </x:sheetPr>
  <x:dimension ref="B1:W85"/>
  <x:sheetViews>
    <x:sheetView topLeftCell="A2" zoomScale="85" zoomScaleNormal="85" workbookViewId="0">
      <x:selection activeCell="F8" sqref="F8"/>
    </x:sheetView>
  </x:sheetViews>
  <x:sheetFormatPr defaultRowHeight="15" x14ac:dyDescent="0.25"/>
  <x:cols>
    <x:col min="1" max="1" width="2.710938" style="0" customWidth="1"/>
    <x:col min="2" max="2" width="10.285156" style="9" bestFit="1" customWidth="1"/>
    <x:col min="3" max="3" width="88.855469" style="0" customWidth="1"/>
    <x:col min="4" max="4" width="23.570312" style="0" bestFit="1" customWidth="1"/>
    <x:col min="5" max="5" width="3.710938" style="0" customWidth="1"/>
    <x:col min="6" max="6" width="15.855469" style="3" customWidth="1"/>
    <x:col min="7" max="7" width="15.570312" style="3" customWidth="1"/>
    <x:col min="8" max="11" width="13.710938" style="3" customWidth="1"/>
    <x:col min="12" max="12" width="3.285156" style="0" customWidth="1"/>
    <x:col min="13" max="13" width="9.140625" style="0" customWidth="1"/>
    <x:col min="14" max="14" width="14.425781" style="0" customWidth="1"/>
    <x:col min="15" max="15" width="9.140625" style="0" customWidth="1"/>
    <x:col min="16" max="16" width="10" style="0" customWidth="1"/>
    <x:col min="17" max="22" width="9.140625" style="0" customWidth="1"/>
    <x:col min="23" max="23" width="21.285156" style="0" customWidth="1"/>
  </x:cols>
  <x:sheetData>
    <x:row r="1" spans="1:23" ht="18.75" customHeight="1" x14ac:dyDescent="0.3">
      <x:c r="B1" s="51" t="s">
        <x:v>12</x:v>
      </x:c>
      <x:c r="C1" s="51"/>
      <x:c r="D1" s="51"/>
      <x:c r="E1" s="51"/>
      <x:c r="F1" s="51"/>
      <x:c r="G1" s="51"/>
      <x:c r="H1" s="51"/>
      <x:c r="I1" s="51"/>
      <x:c r="J1" s="51"/>
      <x:c r="K1" s="51"/>
    </x:row>
    <x:row r="2" spans="1:23" ht="54.6" customHeight="1" s="6" customFormat="1" x14ac:dyDescent="0.25">
      <x:c r="B2" s="8" t="s">
        <x:v>13</x:v>
      </x:c>
      <x:c r="C2" s="5" t="s">
        <x:v>14</x:v>
      </x:c>
      <x:c r="D2" s="5"/>
      <x:c r="E2" s="5"/>
      <x:c r="F2" s="5" t="s">
        <x:v>15</x:v>
      </x:c>
      <x:c r="G2" s="5" t="s">
        <x:v>16</x:v>
      </x:c>
      <x:c r="H2" s="8" t="s">
        <x:v>17</x:v>
      </x:c>
      <x:c r="I2" s="8" t="s">
        <x:v>18</x:v>
      </x:c>
      <x:c r="J2" s="8" t="s">
        <x:v>19</x:v>
      </x:c>
      <x:c r="K2" s="8" t="s">
        <x:v>20</x:v>
      </x:c>
    </x:row>
    <x:row r="4" spans="1:23" x14ac:dyDescent="0.25">
      <x:c r="B4" s="223"/>
      <x:c r="C4" s="2" t="s">
        <x:v>21</x:v>
      </x:c>
      <x:c r="D4" s="3"/>
      <x:c r="E4" s="3"/>
    </x:row>
    <x:row r="5" spans="1:23" x14ac:dyDescent="0.25">
      <x:c r="B5" s="224">
        <x:f>'(1)'!B5+'(2)'!B5+'(3)'!B5+'(4)'!B5+'(5)'!B5+'(6)'!B5+'(7)'!B5+'(8)'!B5+'(9)'!B5+'(10)'!B5+'(11)'!B5+'(12)'!B5</x:f>
      </x:c>
      <x:c r="C5" s="0" t="s">
        <x:v>22</x:v>
      </x:c>
      <x:c r="D5" s="3"/>
      <x:c r="E5" s="3"/>
      <x:c r="F5" s="225">
        <x:v>7.5</x:v>
      </x:c>
      <x:c r="G5" s="225">
        <x:v>8.9</x:v>
      </x:c>
      <x:c r="H5" s="225">
        <x:f>F5*B5</x:f>
      </x:c>
      <x:c r="I5" s="225">
        <x:f>G5*B5</x:f>
      </x:c>
      <x:c r="J5" s="225">
        <x:f>F5*0.23*3*B5</x:f>
      </x:c>
      <x:c r="K5" s="225">
        <x:f>G5*0.23*3*B5</x:f>
      </x:c>
      <x:c r="W5" s="1"/>
    </x:row>
    <x:row r="6" spans="1:23" x14ac:dyDescent="0.25">
      <x:c r="B6" s="224">
        <x:f>'(1)'!B6+'(2)'!B6+'(3)'!B6+'(4)'!B6+'(5)'!B6+'(6)'!B6+'(7)'!B6+'(8)'!B6+'(9)'!B6+'(10)'!B6+'(11)'!B6+'(12)'!B6</x:f>
      </x:c>
      <x:c r="C6" s="0" t="s">
        <x:v>23</x:v>
      </x:c>
      <x:c r="D6" s="3"/>
      <x:c r="E6" s="3"/>
      <x:c r="F6" s="225">
        <x:v>6.3</x:v>
      </x:c>
      <x:c r="G6" s="225">
        <x:v>6.8</x:v>
      </x:c>
      <x:c r="H6" s="225">
        <x:f>F6*B6</x:f>
      </x:c>
      <x:c r="I6" s="225">
        <x:f>G6*B6</x:f>
      </x:c>
      <x:c r="J6" s="225">
        <x:f>F6*0.23*3*B6</x:f>
      </x:c>
      <x:c r="K6" s="225">
        <x:f>G6*0.23*3*B6</x:f>
      </x:c>
      <x:c r="W6" s="1"/>
    </x:row>
    <x:row r="7" spans="1:23" x14ac:dyDescent="0.25">
      <x:c r="B7" s="224">
        <x:f>'(1)'!B7+'(2)'!B7+'(3)'!B7+'(4)'!B7+'(5)'!B7+'(6)'!B7+'(7)'!B7+'(8)'!B7+'(9)'!B7+'(10)'!B7+'(11)'!B7+'(12)'!B7</x:f>
      </x:c>
      <x:c r="C7" s="0" t="s">
        <x:v>24</x:v>
      </x:c>
      <x:c r="D7" s="3"/>
      <x:c r="E7" s="3"/>
      <x:c r="F7" s="225">
        <x:v>5.5</x:v>
      </x:c>
      <x:c r="G7" s="225">
        <x:v>5.7</x:v>
      </x:c>
      <x:c r="H7" s="225">
        <x:f>F7*B7</x:f>
      </x:c>
      <x:c r="I7" s="225">
        <x:f>G7*B7</x:f>
      </x:c>
      <x:c r="J7" s="225">
        <x:f>F7*0.23*3*B7</x:f>
      </x:c>
      <x:c r="K7" s="225">
        <x:f>G7*0.23*3*B7</x:f>
      </x:c>
      <x:c r="W7" s="1"/>
    </x:row>
    <x:row r="8" spans="1:23" x14ac:dyDescent="0.25">
      <x:c r="B8" s="224">
        <x:f>'(1)'!B8+'(2)'!B8+'(3)'!B8+'(4)'!B8+'(5)'!B8+'(6)'!B8+'(7)'!B8+'(8)'!B8+'(9)'!B8+'(10)'!B8+'(11)'!B8+'(12)'!B8</x:f>
      </x:c>
      <x:c r="C8" s="0" t="s">
        <x:v>25</x:v>
      </x:c>
      <x:c r="D8" s="3"/>
      <x:c r="E8" s="3"/>
      <x:c r="F8" s="225">
        <x:v>5.9</x:v>
      </x:c>
      <x:c r="G8" s="225">
        <x:v>5.7</x:v>
      </x:c>
      <x:c r="H8" s="225">
        <x:f>F8*B8</x:f>
      </x:c>
      <x:c r="I8" s="225">
        <x:f>G8*B8</x:f>
      </x:c>
      <x:c r="J8" s="225">
        <x:f>F8*0.23*3*B8</x:f>
      </x:c>
      <x:c r="K8" s="225">
        <x:f>G8*0.23*3*B8</x:f>
      </x:c>
      <x:c r="W8" s="1"/>
    </x:row>
    <x:row r="9" spans="1:23" x14ac:dyDescent="0.25">
      <x:c r="B9" s="223"/>
      <x:c r="D9" s="3"/>
      <x:c r="E9" s="3"/>
      <x:c r="F9" s="4"/>
      <x:c r="G9" s="4"/>
      <x:c r="H9" s="4"/>
      <x:c r="I9" s="4"/>
      <x:c r="J9" s="4"/>
      <x:c r="K9" s="4"/>
      <x:c r="W9" s="1"/>
    </x:row>
    <x:row r="10" spans="1:23" x14ac:dyDescent="0.25">
      <x:c r="B10" s="223"/>
      <x:c r="C10" s="2" t="s">
        <x:v>26</x:v>
      </x:c>
      <x:c r="D10" s="3"/>
      <x:c r="E10" s="3"/>
      <x:c r="F10" s="4"/>
      <x:c r="G10" s="4"/>
      <x:c r="H10" s="4"/>
      <x:c r="I10" s="4"/>
      <x:c r="J10" s="4"/>
      <x:c r="K10" s="4"/>
    </x:row>
    <x:row r="11" spans="1:23" x14ac:dyDescent="0.25">
      <x:c r="B11" s="224">
        <x:f>'(1)'!B11+'(2)'!B11+'(3)'!B11+'(4)'!B11+'(5)'!B11+'(6)'!B11+'(7)'!B11+'(8)'!B11+'(9)'!B11+'(10)'!B11+'(11)'!B11+'(12)'!B11</x:f>
      </x:c>
      <x:c r="C11" s="0" t="s">
        <x:v>22</x:v>
      </x:c>
      <x:c r="D11" s="3"/>
      <x:c r="E11" s="3"/>
      <x:c r="F11" s="225">
        <x:v>3.9</x:v>
      </x:c>
      <x:c r="G11" s="225">
        <x:v>8.9</x:v>
      </x:c>
      <x:c r="H11" s="225">
        <x:f>F11*B11</x:f>
      </x:c>
      <x:c r="I11" s="225">
        <x:f>G11*B11</x:f>
      </x:c>
      <x:c r="J11" s="225">
        <x:f>F11*0.23*3*B11</x:f>
      </x:c>
      <x:c r="K11" s="225">
        <x:f>G11*0.23*3*B11</x:f>
      </x:c>
    </x:row>
    <x:row r="12" spans="1:23" x14ac:dyDescent="0.25">
      <x:c r="B12" s="224">
        <x:f>'(1)'!B12+'(2)'!B12+'(3)'!B12+'(4)'!B12+'(5)'!B12+'(6)'!B12+'(7)'!B12+'(8)'!B12+'(9)'!B12+'(10)'!B12+'(11)'!B12+'(12)'!B12</x:f>
      </x:c>
      <x:c r="C12" s="0" t="s">
        <x:v>27</x:v>
      </x:c>
      <x:c r="D12" s="3"/>
      <x:c r="E12" s="3"/>
      <x:c r="F12" s="225">
        <x:v>3.9</x:v>
      </x:c>
      <x:c r="G12" s="225">
        <x:v>6.8</x:v>
      </x:c>
      <x:c r="H12" s="225">
        <x:f>F12*B12</x:f>
      </x:c>
      <x:c r="I12" s="225">
        <x:f>G12*B12</x:f>
      </x:c>
      <x:c r="J12" s="225">
        <x:f>F12*0.23*3*B12</x:f>
      </x:c>
      <x:c r="K12" s="225">
        <x:f>G12*0.23*3*B12</x:f>
      </x:c>
    </x:row>
    <x:row r="13" spans="1:23" x14ac:dyDescent="0.25">
      <x:c r="B13" s="224">
        <x:f>'(1)'!B13+'(2)'!B13+'(3)'!B13+'(4)'!B13+'(5)'!B13+'(6)'!B13+'(7)'!B13+'(8)'!B13+'(9)'!B13+'(10)'!B13+'(11)'!B13+'(12)'!B13</x:f>
      </x:c>
      <x:c r="C13" s="0" t="s">
        <x:v>24</x:v>
      </x:c>
      <x:c r="D13" s="3"/>
      <x:c r="E13" s="3"/>
      <x:c r="F13" s="225">
        <x:v>3.9</x:v>
      </x:c>
      <x:c r="G13" s="225">
        <x:v>5.7</x:v>
      </x:c>
      <x:c r="H13" s="225">
        <x:f>F13*B13</x:f>
      </x:c>
      <x:c r="I13" s="225">
        <x:f>G13*B13</x:f>
      </x:c>
      <x:c r="J13" s="225">
        <x:f>F13*0.23*3*B13</x:f>
      </x:c>
      <x:c r="K13" s="225">
        <x:f>G13*0.23*3*B13</x:f>
      </x:c>
    </x:row>
    <x:row r="14" spans="1:23" x14ac:dyDescent="0.25">
      <x:c r="B14" s="224">
        <x:f>'(1)'!B14+'(2)'!B14+'(3)'!B14+'(4)'!B14+'(5)'!B14+'(6)'!B14+'(7)'!B14+'(8)'!B14+'(9)'!B14+'(10)'!B14+'(11)'!B14+'(12)'!B14</x:f>
      </x:c>
      <x:c r="C14" s="0" t="s">
        <x:v>25</x:v>
      </x:c>
      <x:c r="D14" s="3"/>
      <x:c r="E14" s="3"/>
      <x:c r="F14" s="225">
        <x:v>3.9</x:v>
      </x:c>
      <x:c r="G14" s="225">
        <x:v>5.7</x:v>
      </x:c>
      <x:c r="H14" s="225">
        <x:f>F14*B14</x:f>
      </x:c>
      <x:c r="I14" s="225">
        <x:f>G14*B14</x:f>
      </x:c>
      <x:c r="J14" s="225">
        <x:f>F14*0.23*3*B14</x:f>
      </x:c>
      <x:c r="K14" s="225">
        <x:f>G14*0.23*3*B14</x:f>
      </x:c>
    </x:row>
    <x:row r="15" spans="1:23" x14ac:dyDescent="0.25">
      <x:c r="B15" s="223"/>
      <x:c r="D15" s="3"/>
      <x:c r="E15" s="3"/>
      <x:c r="F15" s="4"/>
      <x:c r="G15" s="4"/>
      <x:c r="H15" s="4"/>
      <x:c r="I15" s="4"/>
      <x:c r="J15" s="4"/>
      <x:c r="K15" s="4"/>
    </x:row>
    <x:row r="16" spans="1:23" x14ac:dyDescent="0.25">
      <x:c r="B16" s="223"/>
      <x:c r="C16" s="2" t="s">
        <x:v>28</x:v>
      </x:c>
      <x:c r="D16" s="3"/>
      <x:c r="E16" s="3"/>
      <x:c r="F16" s="4"/>
      <x:c r="G16" s="4"/>
      <x:c r="H16" s="4"/>
      <x:c r="I16" s="4"/>
      <x:c r="J16" s="4"/>
      <x:c r="K16" s="4"/>
    </x:row>
    <x:row r="17" spans="1:23" x14ac:dyDescent="0.25">
      <x:c r="B17" s="224">
        <x:f>'(1)'!B17+'(2)'!B17+'(3)'!B17+'(4)'!B17+'(5)'!B17+'(6)'!B17+'(7)'!B17+'(8)'!B17+'(9)'!B17+'(10)'!B17+'(11)'!B17+'(12)'!B17</x:f>
      </x:c>
      <x:c r="C17" s="0" t="s">
        <x:v>22</x:v>
      </x:c>
      <x:c r="D17" s="3"/>
      <x:c r="E17" s="3"/>
      <x:c r="F17" s="225">
        <x:v>7</x:v>
      </x:c>
      <x:c r="G17" s="225">
        <x:v>8.9</x:v>
      </x:c>
      <x:c r="H17" s="225">
        <x:f>F17*B17</x:f>
      </x:c>
      <x:c r="I17" s="225">
        <x:f>G17*B17</x:f>
      </x:c>
      <x:c r="J17" s="225">
        <x:f>F17*0.23*3*B17</x:f>
      </x:c>
      <x:c r="K17" s="225">
        <x:f>G17*0.23*3*B17</x:f>
      </x:c>
    </x:row>
    <x:row r="18" spans="1:23" x14ac:dyDescent="0.25">
      <x:c r="B18" s="224">
        <x:f>'(1)'!B18+'(2)'!B18+'(3)'!B18+'(4)'!B18+'(5)'!B18+'(6)'!B18+'(7)'!B18+'(8)'!B18+'(9)'!B18+'(10)'!B18+'(11)'!B18+'(12)'!B18</x:f>
      </x:c>
      <x:c r="C18" s="0" t="s">
        <x:v>23</x:v>
      </x:c>
      <x:c r="D18" s="3"/>
      <x:c r="E18" s="3"/>
      <x:c r="F18" s="225">
        <x:v>5.9</x:v>
      </x:c>
      <x:c r="G18" s="225">
        <x:v>6.8</x:v>
      </x:c>
      <x:c r="H18" s="225">
        <x:f>F18*B18</x:f>
      </x:c>
      <x:c r="I18" s="225">
        <x:f>G18*B18</x:f>
      </x:c>
      <x:c r="J18" s="225">
        <x:f>F18*0.23*3*B18</x:f>
      </x:c>
      <x:c r="K18" s="225">
        <x:f>G18*0.23*3*B18</x:f>
      </x:c>
    </x:row>
    <x:row r="19" spans="1:23" x14ac:dyDescent="0.25">
      <x:c r="B19" s="224">
        <x:f>'(1)'!B19+'(2)'!B19+'(3)'!B19+'(4)'!B19+'(5)'!B19+'(6)'!B19+'(7)'!B19+'(8)'!B19+'(9)'!B19+'(10)'!B19+'(11)'!B19+'(12)'!B19</x:f>
      </x:c>
      <x:c r="C19" s="0" t="s">
        <x:v>29</x:v>
      </x:c>
      <x:c r="D19" s="3"/>
      <x:c r="E19" s="3"/>
      <x:c r="F19" s="225">
        <x:v>5.3</x:v>
      </x:c>
      <x:c r="G19" s="225">
        <x:v>5.7</x:v>
      </x:c>
      <x:c r="H19" s="225">
        <x:f>F19*B19</x:f>
      </x:c>
      <x:c r="I19" s="225">
        <x:f>G19*B19</x:f>
      </x:c>
      <x:c r="J19" s="225">
        <x:f>F19*0.23*3*B19</x:f>
      </x:c>
      <x:c r="K19" s="225">
        <x:f>G19*0.23*3*B19</x:f>
      </x:c>
    </x:row>
    <x:row r="20" spans="1:23" x14ac:dyDescent="0.25">
      <x:c r="B20" s="224">
        <x:f>'(1)'!B20+'(2)'!B20+'(3)'!B20+'(4)'!B20+'(5)'!B20+'(6)'!B20+'(7)'!B20+'(8)'!B20+'(9)'!B20+'(10)'!B20+'(11)'!B20+'(12)'!B20</x:f>
      </x:c>
      <x:c r="C20" s="0" t="s">
        <x:v>25</x:v>
      </x:c>
      <x:c r="D20" s="3"/>
      <x:c r="E20" s="3"/>
      <x:c r="F20" s="225">
        <x:v>5.6</x:v>
      </x:c>
      <x:c r="G20" s="225">
        <x:v>5.7</x:v>
      </x:c>
      <x:c r="H20" s="225">
        <x:f>F20*B20</x:f>
      </x:c>
      <x:c r="I20" s="225">
        <x:f>G20*B20</x:f>
      </x:c>
      <x:c r="J20" s="225">
        <x:f>F20*0.23*3*B20</x:f>
      </x:c>
      <x:c r="K20" s="225">
        <x:f>G20*0.23*3*B20</x:f>
      </x:c>
    </x:row>
    <x:row r="21" spans="1:23" x14ac:dyDescent="0.25">
      <x:c r="B21" s="223"/>
      <x:c r="D21" s="3"/>
      <x:c r="E21" s="3"/>
      <x:c r="F21" s="4"/>
      <x:c r="G21" s="4"/>
      <x:c r="H21" s="4"/>
      <x:c r="I21" s="4"/>
      <x:c r="J21" s="4"/>
      <x:c r="K21" s="4"/>
    </x:row>
    <x:row r="22" spans="1:23" x14ac:dyDescent="0.25">
      <x:c r="B22" s="223"/>
      <x:c r="C22" s="2" t="s">
        <x:v>30</x:v>
      </x:c>
      <x:c r="D22" s="3"/>
      <x:c r="E22" s="3"/>
      <x:c r="F22" s="4"/>
      <x:c r="G22" s="4"/>
      <x:c r="H22" s="4"/>
      <x:c r="I22" s="4"/>
      <x:c r="J22" s="4"/>
      <x:c r="K22" s="4"/>
    </x:row>
    <x:row r="23" spans="1:23" x14ac:dyDescent="0.25">
      <x:c r="B23" s="224">
        <x:f>'(1)'!B23+'(2)'!B23+'(3)'!B23+'(4)'!B23+'(5)'!B23+'(6)'!B23+'(7)'!B23+'(8)'!B23+'(9)'!B23+'(10)'!B23+'(11)'!B23+'(12)'!B23</x:f>
      </x:c>
      <x:c r="C23" s="0" t="s">
        <x:v>31</x:v>
      </x:c>
      <x:c r="D23" s="3"/>
      <x:c r="E23" s="3"/>
      <x:c r="F23" s="225">
        <x:v>2.6</x:v>
      </x:c>
      <x:c r="G23" s="226"/>
      <x:c r="H23" s="225">
        <x:f>F23*B23</x:f>
      </x:c>
      <x:c r="I23" s="226"/>
      <x:c r="J23" s="225">
        <x:f>F23*0.23*3*B23</x:f>
      </x:c>
      <x:c r="K23" s="226"/>
    </x:row>
    <x:row r="24" spans="1:23" x14ac:dyDescent="0.25">
      <x:c r="B24" s="223"/>
      <x:c r="C24" s="0" t="s">
        <x:v>32</x:v>
      </x:c>
      <x:c r="D24" s="3"/>
      <x:c r="E24" s="3"/>
      <x:c r="F24" s="226"/>
      <x:c r="G24" s="226"/>
      <x:c r="H24" s="225">
        <x:f>J24*1000/(3*230)</x:f>
      </x:c>
      <x:c r="I24" s="226"/>
      <x:c r="J24" s="224">
        <x:f>'(1)'!J24+'(2)'!J24+'(3)'!J24+'(4)'!J24+'(5)'!J24+'(6)'!J24+'(7)'!J24+'(8)'!J24+'(9)'!J24+'(10)'!J24+'(11)'!J24+'(12)'!J24</x:f>
      </x:c>
      <x:c r="K24" s="226"/>
    </x:row>
    <x:row r="25" spans="1:23" x14ac:dyDescent="0.25">
      <x:c r="B25" s="223"/>
      <x:c r="D25" s="3"/>
      <x:c r="E25" s="3"/>
      <x:c r="F25" s="4"/>
      <x:c r="G25" s="4"/>
      <x:c r="H25" s="4"/>
      <x:c r="I25" s="4"/>
      <x:c r="J25" s="4"/>
      <x:c r="K25" s="4"/>
      <x:c r="N25" s="11" t="s">
        <x:v>33</x:v>
      </x:c>
    </x:row>
    <x:row r="26" spans="1:23" x14ac:dyDescent="0.25">
      <x:c r="B26" s="223"/>
      <x:c r="C26" s="2" t="s">
        <x:v>34</x:v>
      </x:c>
      <x:c r="D26" s="3"/>
      <x:c r="E26" s="3"/>
      <x:c r="F26" s="4"/>
      <x:c r="G26" s="4"/>
      <x:c r="H26" s="4"/>
      <x:c r="I26" s="4"/>
      <x:c r="J26" s="4"/>
      <x:c r="K26" s="4"/>
    </x:row>
    <x:row r="27" spans="1:23" x14ac:dyDescent="0.25">
      <x:c r="B27" s="224">
        <x:f>'(1)'!B27+'(2)'!B27+'(3)'!B27+'(4)'!B27+'(5)'!B27+'(6)'!B27+'(7)'!B27+'(8)'!B27+'(9)'!B27+'(10)'!B27+'(11)'!B27+'(12)'!B27</x:f>
      </x:c>
      <x:c r="C27" s="0" t="s">
        <x:v>31</x:v>
      </x:c>
      <x:c r="D27" s="3"/>
      <x:c r="E27" s="3"/>
      <x:c r="F27" s="225">
        <x:v>4.5</x:v>
      </x:c>
      <x:c r="G27" s="226"/>
      <x:c r="H27" s="225">
        <x:f>F27*B27</x:f>
      </x:c>
      <x:c r="I27" s="226"/>
      <x:c r="J27" s="225">
        <x:f>F27*0.23*3*B27</x:f>
      </x:c>
      <x:c r="K27" s="226"/>
    </x:row>
    <x:row r="28" spans="1:23" x14ac:dyDescent="0.25">
      <x:c r="B28" s="223"/>
      <x:c r="C28" s="2"/>
      <x:c r="D28" s="3"/>
      <x:c r="E28" s="3"/>
      <x:c r="F28" s="4"/>
      <x:c r="G28" s="4"/>
      <x:c r="H28" s="4"/>
      <x:c r="I28" s="4"/>
      <x:c r="J28" s="4"/>
      <x:c r="K28" s="4"/>
    </x:row>
    <x:row r="29" spans="1:23" x14ac:dyDescent="0.25">
      <x:c r="B29" s="223"/>
      <x:c r="C29" s="2" t="s">
        <x:v>35</x:v>
      </x:c>
      <x:c r="D29" s="3"/>
      <x:c r="E29" s="3"/>
      <x:c r="F29" s="4"/>
      <x:c r="G29" s="4"/>
      <x:c r="H29" s="4"/>
      <x:c r="I29" s="4"/>
      <x:c r="J29" s="4"/>
      <x:c r="K29" s="4"/>
    </x:row>
    <x:row r="30" spans="1:23" x14ac:dyDescent="0.25">
      <x:c r="B30" s="224">
        <x:f>'(1)'!B30+'(2)'!B30+'(3)'!B30+'(4)'!B30+'(5)'!B30+'(6)'!B30+'(7)'!B30+'(8)'!B30+'(9)'!B30+'(10)'!B30+'(11)'!B30+'(12)'!B30</x:f>
      </x:c>
      <x:c r="C30" s="0" t="s">
        <x:v>31</x:v>
      </x:c>
      <x:c r="D30" s="3"/>
      <x:c r="E30" s="3"/>
      <x:c r="F30" s="225">
        <x:v>4.2</x:v>
      </x:c>
      <x:c r="G30" s="226"/>
      <x:c r="H30" s="225">
        <x:f>F30*B30</x:f>
      </x:c>
      <x:c r="I30" s="226"/>
      <x:c r="J30" s="225">
        <x:f>F30*0.23*3*B30</x:f>
      </x:c>
      <x:c r="K30" s="226"/>
      <x:c r="O30" s="11"/>
      <x:c r="P30" s="11"/>
      <x:c r="Q30" s="11"/>
      <x:c r="R30" s="11"/>
      <x:c r="S30" s="11"/>
    </x:row>
    <x:row r="31" spans="1:23" x14ac:dyDescent="0.25">
      <x:c r="B31" s="223"/>
      <x:c r="D31" s="3"/>
      <x:c r="E31" s="3"/>
      <x:c r="F31" s="4"/>
      <x:c r="G31" s="4"/>
      <x:c r="H31" s="4"/>
      <x:c r="I31" s="4"/>
      <x:c r="J31" s="4"/>
      <x:c r="K31" s="4"/>
    </x:row>
    <x:row r="32" spans="1:23" x14ac:dyDescent="0.25">
      <x:c r="B32" s="223"/>
      <x:c r="C32" s="2" t="s">
        <x:v>36</x:v>
      </x:c>
      <x:c r="D32" s="3"/>
      <x:c r="E32" s="3"/>
      <x:c r="F32" s="4"/>
      <x:c r="G32" s="4"/>
      <x:c r="H32" s="4"/>
      <x:c r="I32" s="4"/>
      <x:c r="J32" s="4"/>
      <x:c r="K32" s="4"/>
    </x:row>
    <x:row r="33" spans="1:23" x14ac:dyDescent="0.25">
      <x:c r="B33" s="223"/>
      <x:c r="C33" s="0" t="s">
        <x:v>37</x:v>
      </x:c>
      <x:c r="D33" s="3"/>
      <x:c r="E33" s="3"/>
      <x:c r="F33" s="226"/>
      <x:c r="G33" s="226"/>
      <x:c r="H33" s="225">
        <x:f>J33*1000/(3*230)</x:f>
      </x:c>
      <x:c r="I33" s="226"/>
      <x:c r="J33" s="224">
        <x:f>'(1)'!J33+'(2)'!J33+'(3)'!J33+'(4)'!J33+'(5)'!J33+'(6)'!J33+'(7)'!J33+'(8)'!J33+'(9)'!J33+'(10)'!J33+'(11)'!J33+'(12)'!J33</x:f>
      </x:c>
      <x:c r="K33" s="226"/>
    </x:row>
    <x:row r="34" spans="1:23" x14ac:dyDescent="0.25">
      <x:c r="B34" s="223"/>
      <x:c r="D34" s="3"/>
      <x:c r="E34" s="3"/>
      <x:c r="F34" s="4"/>
      <x:c r="G34" s="4"/>
      <x:c r="H34" s="4"/>
      <x:c r="I34" s="4"/>
      <x:c r="J34" s="4"/>
      <x:c r="K34" s="4"/>
    </x:row>
    <x:row r="35" spans="1:23" x14ac:dyDescent="0.25">
      <x:c r="B35" s="223"/>
      <x:c r="C35" s="2" t="s">
        <x:v>38</x:v>
      </x:c>
      <x:c r="D35" s="3"/>
      <x:c r="E35" s="3"/>
      <x:c r="F35" s="4"/>
      <x:c r="G35" s="4"/>
      <x:c r="H35" s="4"/>
      <x:c r="I35" s="4"/>
      <x:c r="J35" s="4"/>
      <x:c r="K35" s="4"/>
    </x:row>
    <x:row r="36" spans="1:23" x14ac:dyDescent="0.25">
      <x:c r="B36" s="224">
        <x:f>'(1)'!B36+'(2)'!B36+'(3)'!B36+'(4)'!B36+'(5)'!B36+'(6)'!B36+'(7)'!B36+'(8)'!B36+'(9)'!B36+'(10)'!B36+'(11)'!B36+'(12)'!B36</x:f>
      </x:c>
      <x:c r="C36" s="0" t="s">
        <x:v>39</x:v>
      </x:c>
      <x:c r="D36" s="227" t="s">
        <x:v>40</x:v>
      </x:c>
      <x:c r="E36" s="82"/>
      <x:c r="F36" s="225">
        <x:v>8.7</x:v>
      </x:c>
      <x:c r="G36" s="225">
        <x:v>8.7</x:v>
      </x:c>
      <x:c r="H36" s="225">
        <x:f>F36*B36</x:f>
      </x:c>
      <x:c r="I36" s="225">
        <x:f>G36*B36</x:f>
      </x:c>
      <x:c r="J36" s="225">
        <x:f>F36*0.23*3*B36</x:f>
      </x:c>
      <x:c r="K36" s="225">
        <x:f>G36*0.23*3*B36</x:f>
      </x:c>
    </x:row>
    <x:row r="37" spans="1:23" x14ac:dyDescent="0.25">
      <x:c r="B37" s="224">
        <x:f>'(1)'!B37+'(2)'!B37+'(3)'!B37+'(4)'!B37+'(5)'!B37+'(6)'!B37+'(7)'!B37+'(8)'!B37+'(9)'!B37+'(10)'!B37+'(11)'!B37+'(12)'!B37</x:f>
      </x:c>
      <x:c r="C37" s="0" t="s">
        <x:v>39</x:v>
      </x:c>
      <x:c r="D37" s="228" t="s">
        <x:v>41</x:v>
      </x:c>
      <x:c r="E37" s="3"/>
      <x:c r="F37" s="225">
        <x:v>44</x:v>
      </x:c>
      <x:c r="G37" s="225">
        <x:v>44</x:v>
      </x:c>
      <x:c r="H37" s="225">
        <x:f>F37*B37</x:f>
      </x:c>
      <x:c r="I37" s="225">
        <x:f>G37*B37</x:f>
      </x:c>
      <x:c r="J37" s="225">
        <x:f>F37*0.23*3*B37</x:f>
      </x:c>
      <x:c r="K37" s="225">
        <x:f>G37*0.23*3*B37</x:f>
      </x:c>
    </x:row>
    <x:row r="38" spans="1:23" x14ac:dyDescent="0.25">
      <x:c r="B38" s="224">
        <x:f>'(1)'!B38+'(2)'!B38+'(3)'!B38+'(4)'!B38+'(5)'!B38+'(6)'!B38+'(7)'!B38+'(8)'!B38+'(9)'!B38+'(10)'!B38+'(11)'!B38+'(12)'!B38</x:f>
      </x:c>
      <x:c r="C38" s="0" t="s">
        <x:v>39</x:v>
      </x:c>
      <x:c r="D38" s="229" t="s">
        <x:v>42</x:v>
      </x:c>
      <x:c r="E38" s="82"/>
      <x:c r="F38" s="225">
        <x:v>210</x:v>
      </x:c>
      <x:c r="G38" s="225">
        <x:v>210</x:v>
      </x:c>
      <x:c r="H38" s="225">
        <x:f>F38*B38</x:f>
      </x:c>
      <x:c r="I38" s="225">
        <x:f>G38*B38</x:f>
      </x:c>
      <x:c r="J38" s="225">
        <x:f>F38*0.23*3*B38</x:f>
      </x:c>
      <x:c r="K38" s="225">
        <x:f>G38*0.23*3*B38</x:f>
      </x:c>
    </x:row>
    <x:row r="39" spans="1:23" x14ac:dyDescent="0.25">
      <x:c r="B39" s="224">
        <x:f>'(1)'!B39+'(2)'!B39+'(3)'!B39+'(4)'!B39+'(5)'!B39+'(6)'!B39+'(7)'!B39+'(8)'!B39+'(9)'!B39+'(10)'!B39+'(11)'!B39+'(12)'!B39</x:f>
      </x:c>
      <x:c r="C39" s="0" t="s">
        <x:v>43</x:v>
      </x:c>
      <x:c r="D39" s="227" t="s">
        <x:v>40</x:v>
      </x:c>
      <x:c r="E39" s="82"/>
      <x:c r="F39" s="225">
        <x:v>32</x:v>
      </x:c>
      <x:c r="G39" s="225">
        <x:v>32</x:v>
      </x:c>
      <x:c r="H39" s="225">
        <x:f>F39*B39</x:f>
      </x:c>
      <x:c r="I39" s="225">
        <x:f>G39*B39</x:f>
      </x:c>
      <x:c r="J39" s="225">
        <x:f>F39*0.23*3*B39</x:f>
      </x:c>
      <x:c r="K39" s="225">
        <x:f>G39*0.23*3*B39</x:f>
      </x:c>
    </x:row>
    <x:row r="40" spans="1:23" x14ac:dyDescent="0.25">
      <x:c r="B40" s="224">
        <x:f>'(1)'!B40+'(2)'!B40+'(3)'!B40+'(4)'!B40+'(5)'!B40+'(6)'!B40+'(7)'!B40+'(8)'!B40+'(9)'!B40+'(10)'!B40+'(11)'!B40+'(12)'!B40</x:f>
      </x:c>
      <x:c r="C40" s="0" t="s">
        <x:v>43</x:v>
      </x:c>
      <x:c r="D40" s="228" t="s">
        <x:v>41</x:v>
      </x:c>
      <x:c r="E40" s="3"/>
      <x:c r="F40" s="225">
        <x:v>65</x:v>
      </x:c>
      <x:c r="G40" s="225">
        <x:v>65</x:v>
      </x:c>
      <x:c r="H40" s="225">
        <x:f>F40*B40</x:f>
      </x:c>
      <x:c r="I40" s="225">
        <x:f>G40*B40</x:f>
      </x:c>
      <x:c r="J40" s="225">
        <x:f>F40*0.23*3*B40</x:f>
      </x:c>
      <x:c r="K40" s="225">
        <x:f>G40*0.23*3*B40</x:f>
      </x:c>
    </x:row>
    <x:row r="41" spans="1:23" x14ac:dyDescent="0.25">
      <x:c r="B41" s="224">
        <x:f>'(1)'!B41+'(2)'!B41+'(3)'!B41+'(4)'!B41+'(5)'!B41+'(6)'!B41+'(7)'!B41+'(8)'!B41+'(9)'!B41+'(10)'!B41+'(11)'!B41+'(12)'!B41</x:f>
      </x:c>
      <x:c r="C41" s="0" t="s">
        <x:v>43</x:v>
      </x:c>
      <x:c r="D41" s="229" t="s">
        <x:v>42</x:v>
      </x:c>
      <x:c r="E41" s="82"/>
      <x:c r="F41" s="225">
        <x:v>210</x:v>
      </x:c>
      <x:c r="G41" s="225">
        <x:v>210</x:v>
      </x:c>
      <x:c r="H41" s="225">
        <x:f>F41*B41</x:f>
      </x:c>
      <x:c r="I41" s="225">
        <x:f>G41*B41</x:f>
      </x:c>
      <x:c r="J41" s="225">
        <x:f>F41*0.23*3*B41</x:f>
      </x:c>
      <x:c r="K41" s="225">
        <x:f>G41*0.23*3*B41</x:f>
      </x:c>
    </x:row>
    <x:row r="42" spans="1:23" x14ac:dyDescent="0.25">
      <x:c r="B42" s="224">
        <x:f>'(1)'!B42+'(2)'!B42+'(3)'!B42+'(4)'!B42+'(5)'!B42+'(6)'!B42+'(7)'!B42+'(8)'!B42+'(9)'!B42+'(10)'!B42+'(11)'!B42+'(12)'!B42</x:f>
      </x:c>
      <x:c r="C42" s="0" t="s">
        <x:v>44</x:v>
      </x:c>
      <x:c r="D42" s="227" t="s">
        <x:v>40</x:v>
      </x:c>
      <x:c r="E42" s="82"/>
      <x:c r="F42" s="225">
        <x:v>44</x:v>
      </x:c>
      <x:c r="G42" s="225">
        <x:v>44</x:v>
      </x:c>
      <x:c r="H42" s="225">
        <x:f>F42*B42</x:f>
      </x:c>
      <x:c r="I42" s="225">
        <x:f>G42*B42</x:f>
      </x:c>
      <x:c r="J42" s="225">
        <x:f>F42*0.23*3*B42</x:f>
      </x:c>
      <x:c r="K42" s="225">
        <x:f>G42*0.23*3*B42</x:f>
      </x:c>
    </x:row>
    <x:row r="43" spans="1:23" x14ac:dyDescent="0.25">
      <x:c r="B43" s="224">
        <x:f>'(1)'!B43+'(2)'!B43+'(3)'!B43+'(4)'!B43+'(5)'!B43+'(6)'!B43+'(7)'!B43+'(8)'!B43+'(9)'!B43+'(10)'!B43+'(11)'!B43+'(12)'!B43</x:f>
      </x:c>
      <x:c r="C43" s="0" t="s">
        <x:v>44</x:v>
      </x:c>
      <x:c r="D43" s="228" t="s">
        <x:v>41</x:v>
      </x:c>
      <x:c r="E43" s="3"/>
      <x:c r="F43" s="225">
        <x:v>65</x:v>
      </x:c>
      <x:c r="G43" s="225">
        <x:v>65</x:v>
      </x:c>
      <x:c r="H43" s="225">
        <x:f>F43*B43</x:f>
      </x:c>
      <x:c r="I43" s="225">
        <x:f>G43*B43</x:f>
      </x:c>
      <x:c r="J43" s="225">
        <x:f>F43*0.23*3*B43</x:f>
      </x:c>
      <x:c r="K43" s="225">
        <x:f>G43*0.23*3*B43</x:f>
      </x:c>
    </x:row>
    <x:row r="44" spans="1:23" x14ac:dyDescent="0.25">
      <x:c r="B44" s="224">
        <x:f>'(1)'!B44+'(2)'!B44+'(3)'!B44+'(4)'!B44+'(5)'!B44+'(6)'!B44+'(7)'!B44+'(8)'!B44+'(9)'!B44+'(10)'!B44+'(11)'!B44+'(12)'!B44</x:f>
      </x:c>
      <x:c r="C44" s="0" t="s">
        <x:v>44</x:v>
      </x:c>
      <x:c r="D44" s="229" t="s">
        <x:v>42</x:v>
      </x:c>
      <x:c r="E44" s="82"/>
      <x:c r="F44" s="225">
        <x:v>210</x:v>
      </x:c>
      <x:c r="G44" s="225">
        <x:v>210</x:v>
      </x:c>
      <x:c r="H44" s="225">
        <x:f>F44*B44</x:f>
      </x:c>
      <x:c r="I44" s="225">
        <x:f>G44*B44</x:f>
      </x:c>
      <x:c r="J44" s="225">
        <x:f>F44*0.23*3*B44</x:f>
      </x:c>
      <x:c r="K44" s="225">
        <x:f>G44*0.23*3*B44</x:f>
      </x:c>
    </x:row>
    <x:row r="45" spans="1:23" x14ac:dyDescent="0.25">
      <x:c r="B45" s="224">
        <x:f>'(1)'!B45+'(2)'!B45+'(3)'!B45+'(4)'!B45+'(5)'!B45+'(6)'!B45+'(7)'!B45+'(8)'!B45+'(9)'!B45+'(10)'!B45+'(11)'!B45+'(12)'!B45</x:f>
      </x:c>
      <x:c r="C45" s="0" t="s">
        <x:v>45</x:v>
      </x:c>
      <x:c r="D45" s="227" t="s">
        <x:v>40</x:v>
      </x:c>
      <x:c r="E45" s="82"/>
      <x:c r="F45" s="225">
        <x:v>51</x:v>
      </x:c>
      <x:c r="G45" s="225">
        <x:v>51</x:v>
      </x:c>
      <x:c r="H45" s="225">
        <x:f>F45*B45</x:f>
      </x:c>
      <x:c r="I45" s="225">
        <x:f>G45*B45</x:f>
      </x:c>
      <x:c r="J45" s="225">
        <x:f>F45*0.23*3*B45</x:f>
      </x:c>
      <x:c r="K45" s="225">
        <x:f>G45*0.23*3*B45</x:f>
      </x:c>
    </x:row>
    <x:row r="46" spans="1:23" x14ac:dyDescent="0.25">
      <x:c r="B46" s="224">
        <x:f>'(1)'!B46+'(2)'!B46+'(3)'!B46+'(4)'!B46+'(5)'!B46+'(6)'!B46+'(7)'!B46+'(8)'!B46+'(9)'!B46+'(10)'!B46+'(11)'!B46+'(12)'!B46</x:f>
      </x:c>
      <x:c r="C46" s="0" t="s">
        <x:v>45</x:v>
      </x:c>
      <x:c r="D46" s="228" t="s">
        <x:v>41</x:v>
      </x:c>
      <x:c r="E46" s="3"/>
      <x:c r="F46" s="225">
        <x:v>138</x:v>
      </x:c>
      <x:c r="G46" s="225">
        <x:v>138</x:v>
      </x:c>
      <x:c r="H46" s="225">
        <x:f>F46*B46</x:f>
      </x:c>
      <x:c r="I46" s="225">
        <x:f>G46*B46</x:f>
      </x:c>
      <x:c r="J46" s="225">
        <x:f>F46*0.23*3*B46</x:f>
      </x:c>
      <x:c r="K46" s="225">
        <x:f>G46*0.23*3*B46</x:f>
      </x:c>
    </x:row>
    <x:row r="47" spans="1:23" x14ac:dyDescent="0.25">
      <x:c r="B47" s="224">
        <x:f>'(1)'!B47+'(2)'!B47+'(3)'!B47+'(4)'!B47+'(5)'!B47+'(6)'!B47+'(7)'!B47+'(8)'!B47+'(9)'!B47+'(10)'!B47+'(11)'!B47+'(12)'!B47</x:f>
      </x:c>
      <x:c r="C47" s="0" t="s">
        <x:v>45</x:v>
      </x:c>
      <x:c r="D47" s="229" t="s">
        <x:v>42</x:v>
      </x:c>
      <x:c r="E47" s="82"/>
      <x:c r="F47" s="225">
        <x:v>210</x:v>
      </x:c>
      <x:c r="G47" s="225">
        <x:v>210</x:v>
      </x:c>
      <x:c r="H47" s="225">
        <x:f>F47*B47</x:f>
      </x:c>
      <x:c r="I47" s="225">
        <x:f>G47*B47</x:f>
      </x:c>
      <x:c r="J47" s="225">
        <x:f>F47*0.23*3*B47</x:f>
      </x:c>
      <x:c r="K47" s="225">
        <x:f>G47*0.23*3*B47</x:f>
      </x:c>
    </x:row>
    <x:row r="48" spans="1:23" x14ac:dyDescent="0.25">
      <x:c r="B48" s="224">
        <x:f>'(1)'!B48+'(2)'!B48+'(3)'!B48+'(4)'!B48+'(5)'!B48+'(6)'!B48+'(7)'!B48+'(8)'!B48+'(9)'!B48+'(10)'!B48+'(11)'!B48+'(12)'!B48</x:f>
      </x:c>
      <x:c r="C48" s="0" t="s">
        <x:v>46</x:v>
      </x:c>
      <x:c r="D48" s="227" t="s">
        <x:v>40</x:v>
      </x:c>
      <x:c r="E48" s="82"/>
      <x:c r="F48" s="225">
        <x:v>65</x:v>
      </x:c>
      <x:c r="G48" s="225">
        <x:v>65</x:v>
      </x:c>
      <x:c r="H48" s="225">
        <x:f>F48*B48</x:f>
      </x:c>
      <x:c r="I48" s="225">
        <x:f>G48*B48</x:f>
      </x:c>
      <x:c r="J48" s="225">
        <x:f>F48*0.23*3*B48</x:f>
      </x:c>
      <x:c r="K48" s="225">
        <x:f>G48*0.23*3*B48</x:f>
      </x:c>
    </x:row>
    <x:row r="49" spans="1:23" x14ac:dyDescent="0.25">
      <x:c r="B49" s="224">
        <x:f>'(1)'!B49+'(2)'!B49+'(3)'!B49+'(4)'!B49+'(5)'!B49+'(6)'!B49+'(7)'!B49+'(8)'!B49+'(9)'!B49+'(10)'!B49+'(11)'!B49+'(12)'!B49</x:f>
      </x:c>
      <x:c r="C49" s="0" t="s">
        <x:v>46</x:v>
      </x:c>
      <x:c r="D49" s="228" t="s">
        <x:v>41</x:v>
      </x:c>
      <x:c r="E49" s="3"/>
      <x:c r="F49" s="225">
        <x:v>138</x:v>
      </x:c>
      <x:c r="G49" s="225">
        <x:v>138</x:v>
      </x:c>
      <x:c r="H49" s="225">
        <x:f>F49*B49</x:f>
      </x:c>
      <x:c r="I49" s="225">
        <x:f>G49*B49</x:f>
      </x:c>
      <x:c r="J49" s="225">
        <x:f>F49*0.23*3*B49</x:f>
      </x:c>
      <x:c r="K49" s="225">
        <x:f>G49*0.23*3*B49</x:f>
      </x:c>
    </x:row>
    <x:row r="50" spans="1:23" x14ac:dyDescent="0.25">
      <x:c r="B50" s="224">
        <x:f>'(1)'!B50+'(2)'!B50+'(3)'!B50+'(4)'!B50+'(5)'!B50+'(6)'!B50+'(7)'!B50+'(8)'!B50+'(9)'!B50+'(10)'!B50+'(11)'!B50+'(12)'!B50</x:f>
      </x:c>
      <x:c r="C50" s="0" t="s">
        <x:v>46</x:v>
      </x:c>
      <x:c r="D50" s="229" t="s">
        <x:v>42</x:v>
      </x:c>
      <x:c r="E50" s="82"/>
      <x:c r="F50" s="225">
        <x:v>210</x:v>
      </x:c>
      <x:c r="G50" s="225">
        <x:v>210</x:v>
      </x:c>
      <x:c r="H50" s="225">
        <x:f>F50*B50</x:f>
      </x:c>
      <x:c r="I50" s="225">
        <x:f>G50*B50</x:f>
      </x:c>
      <x:c r="J50" s="225">
        <x:f>F50*0.23*3*B50</x:f>
      </x:c>
      <x:c r="K50" s="225">
        <x:f>G50*0.23*3*B50</x:f>
      </x:c>
    </x:row>
    <x:row r="51" spans="1:23" x14ac:dyDescent="0.25">
      <x:c r="B51" s="223"/>
      <x:c r="D51" s="3"/>
      <x:c r="E51" s="3"/>
      <x:c r="F51" s="4"/>
      <x:c r="G51" s="4"/>
      <x:c r="H51" s="4"/>
      <x:c r="I51" s="4"/>
      <x:c r="J51" s="4"/>
      <x:c r="K51" s="4"/>
    </x:row>
    <x:row r="52" spans="1:23" x14ac:dyDescent="0.25">
      <x:c r="B52" s="223"/>
      <x:c r="C52" s="2" t="s">
        <x:v>47</x:v>
      </x:c>
      <x:c r="D52" s="3"/>
      <x:c r="E52" s="3"/>
      <x:c r="F52" s="4"/>
      <x:c r="G52" s="4"/>
      <x:c r="H52" s="4"/>
      <x:c r="I52" s="4"/>
      <x:c r="J52" s="4"/>
      <x:c r="K52" s="4"/>
      <x:c r="L52" s="74"/>
      <x:c r="M52" s="74"/>
    </x:row>
    <x:row r="53" spans="1:23" x14ac:dyDescent="0.25">
      <x:c r="B53" s="224">
        <x:f>'(1)'!B53+'(2)'!B53+'(3)'!B53+'(4)'!B53+'(5)'!B53+'(6)'!B53+'(7)'!B53+'(8)'!B53+'(9)'!B53+'(10)'!B53+'(11)'!B53+'(12)'!B53</x:f>
      </x:c>
      <x:c r="C53" s="0" t="s">
        <x:v>48</x:v>
      </x:c>
      <x:c r="D53" s="227" t="s">
        <x:v>40</x:v>
      </x:c>
      <x:c r="E53" s="82"/>
      <x:c r="F53" s="225">
        <x:v>85</x:v>
      </x:c>
      <x:c r="G53" s="225">
        <x:v>85</x:v>
      </x:c>
      <x:c r="H53" s="225">
        <x:f>F53*B53</x:f>
      </x:c>
      <x:c r="I53" s="225">
        <x:f>G53*B53</x:f>
      </x:c>
      <x:c r="J53" s="225">
        <x:f>F53*0.23*3*B53</x:f>
      </x:c>
      <x:c r="K53" s="225">
        <x:f>G53*0.23*3*B53</x:f>
      </x:c>
    </x:row>
    <x:row r="54" spans="1:23" x14ac:dyDescent="0.25">
      <x:c r="B54" s="224">
        <x:f>'(1)'!B54+'(2)'!B54+'(3)'!B54+'(4)'!B54+'(5)'!B54+'(6)'!B54+'(7)'!B54+'(8)'!B54+'(9)'!B54+'(10)'!B54+'(11)'!B54+'(12)'!B54</x:f>
      </x:c>
      <x:c r="D54" s="228" t="s">
        <x:v>41</x:v>
      </x:c>
      <x:c r="E54" s="3"/>
      <x:c r="F54" s="225">
        <x:v>210</x:v>
      </x:c>
      <x:c r="G54" s="225">
        <x:v>210</x:v>
      </x:c>
      <x:c r="H54" s="225">
        <x:f>F54*B54</x:f>
      </x:c>
      <x:c r="I54" s="225">
        <x:f>G54*B54</x:f>
      </x:c>
      <x:c r="J54" s="225">
        <x:f>F54*0.23*3*B54</x:f>
      </x:c>
      <x:c r="K54" s="225">
        <x:f>G54*0.23*3*B54</x:f>
      </x:c>
    </x:row>
    <x:row r="55" spans="1:23" x14ac:dyDescent="0.25">
      <x:c r="B55" s="224">
        <x:f>'(1)'!B55+'(2)'!B55+'(3)'!B55+'(4)'!B55+'(5)'!B55+'(6)'!B55+'(7)'!B55+'(8)'!B55+'(9)'!B55+'(10)'!B55+'(11)'!B55+'(12)'!B55</x:f>
      </x:c>
      <x:c r="D55" s="229" t="s">
        <x:v>42</x:v>
      </x:c>
      <x:c r="E55" s="82"/>
      <x:c r="F55" s="225">
        <x:v>210</x:v>
      </x:c>
      <x:c r="G55" s="225">
        <x:v>210</x:v>
      </x:c>
      <x:c r="H55" s="225">
        <x:f>F55*B55</x:f>
      </x:c>
      <x:c r="I55" s="225">
        <x:f>G55*B55</x:f>
      </x:c>
      <x:c r="J55" s="225">
        <x:f>F55*0.23*3*B55</x:f>
      </x:c>
      <x:c r="K55" s="225">
        <x:f>G55*0.23*3*B55</x:f>
      </x:c>
    </x:row>
    <x:row r="56" spans="1:23" x14ac:dyDescent="0.25">
      <x:c r="B56" s="224">
        <x:f>'(1)'!B56+'(2)'!B56+'(3)'!B56+'(4)'!B56+'(5)'!B56+'(6)'!B56+'(7)'!B56+'(8)'!B56+'(9)'!B56+'(10)'!B56+'(11)'!B56+'(12)'!B56</x:f>
      </x:c>
      <x:c r="C56" s="0" t="s">
        <x:v>49</x:v>
      </x:c>
      <x:c r="D56" s="227" t="s">
        <x:v>40</x:v>
      </x:c>
      <x:c r="E56" s="82"/>
      <x:c r="F56" s="225">
        <x:v>106</x:v>
      </x:c>
      <x:c r="G56" s="225">
        <x:v>106</x:v>
      </x:c>
      <x:c r="H56" s="225">
        <x:f>F56*B56</x:f>
      </x:c>
      <x:c r="I56" s="225">
        <x:f>G56*B56</x:f>
      </x:c>
      <x:c r="J56" s="225">
        <x:f>F56*0.23*3*B56</x:f>
      </x:c>
      <x:c r="K56" s="225">
        <x:f>G56*0.23*3*B56</x:f>
      </x:c>
    </x:row>
    <x:row r="57" spans="1:23" x14ac:dyDescent="0.25">
      <x:c r="B57" s="224">
        <x:f>'(1)'!B57+'(2)'!B57+'(3)'!B57+'(4)'!B57+'(5)'!B57+'(6)'!B57+'(7)'!B57+'(8)'!B57+'(9)'!B57+'(10)'!B57+'(11)'!B57+'(12)'!B57</x:f>
      </x:c>
      <x:c r="D57" s="228" t="s">
        <x:v>41</x:v>
      </x:c>
      <x:c r="E57" s="3"/>
      <x:c r="F57" s="225">
        <x:v>210</x:v>
      </x:c>
      <x:c r="G57" s="225">
        <x:v>210</x:v>
      </x:c>
      <x:c r="H57" s="225">
        <x:f>F57*B57</x:f>
      </x:c>
      <x:c r="I57" s="225">
        <x:f>G57*B57</x:f>
      </x:c>
      <x:c r="J57" s="225">
        <x:f>F57*0.23*3*B57</x:f>
      </x:c>
      <x:c r="K57" s="225">
        <x:f>G57*0.23*3*B57</x:f>
      </x:c>
    </x:row>
    <x:row r="58" spans="1:23" x14ac:dyDescent="0.25">
      <x:c r="B58" s="224">
        <x:f>'(1)'!B58+'(2)'!B58+'(3)'!B58+'(4)'!B58+'(5)'!B58+'(6)'!B58+'(7)'!B58+'(8)'!B58+'(9)'!B58+'(10)'!B58+'(11)'!B58+'(12)'!B58</x:f>
      </x:c>
      <x:c r="D58" s="229" t="s">
        <x:v>42</x:v>
      </x:c>
      <x:c r="E58" s="82"/>
      <x:c r="F58" s="225">
        <x:v>210</x:v>
      </x:c>
      <x:c r="G58" s="225">
        <x:v>210</x:v>
      </x:c>
      <x:c r="H58" s="225">
        <x:f>F58*B58</x:f>
      </x:c>
      <x:c r="I58" s="225">
        <x:f>G58*B58</x:f>
      </x:c>
      <x:c r="J58" s="225">
        <x:f>F58*0.23*3*B58</x:f>
      </x:c>
      <x:c r="K58" s="225">
        <x:f>G58*0.23*3*B58</x:f>
      </x:c>
    </x:row>
    <x:row r="59" spans="1:23" x14ac:dyDescent="0.25">
      <x:c r="B59" s="224">
        <x:f>'(1)'!B59+'(2)'!B59+'(3)'!B59+'(4)'!B59+'(5)'!B59+'(6)'!B59+'(7)'!B59+'(8)'!B59+'(9)'!B59+'(10)'!B59+'(11)'!B59+'(12)'!B59</x:f>
      </x:c>
      <x:c r="C59" s="0" t="s">
        <x:v>50</x:v>
      </x:c>
      <x:c r="D59" s="227" t="s">
        <x:v>40</x:v>
      </x:c>
      <x:c r="E59" s="82"/>
      <x:c r="F59" s="225">
        <x:v>138</x:v>
      </x:c>
      <x:c r="G59" s="225">
        <x:v>138</x:v>
      </x:c>
      <x:c r="H59" s="225">
        <x:f>F59*B59</x:f>
      </x:c>
      <x:c r="I59" s="225">
        <x:f>G59*B59</x:f>
      </x:c>
      <x:c r="J59" s="225">
        <x:f>F59*0.23*3*B59</x:f>
      </x:c>
      <x:c r="K59" s="225">
        <x:f>G59*0.23*3*B59</x:f>
      </x:c>
    </x:row>
    <x:row r="60" spans="1:23" x14ac:dyDescent="0.25">
      <x:c r="B60" s="224">
        <x:f>'(1)'!B60+'(2)'!B60+'(3)'!B60+'(4)'!B60+'(5)'!B60+'(6)'!B60+'(7)'!B60+'(8)'!B60+'(9)'!B60+'(10)'!B60+'(11)'!B60+'(12)'!B60</x:f>
      </x:c>
      <x:c r="D60" s="228" t="s">
        <x:v>41</x:v>
      </x:c>
      <x:c r="E60" s="3"/>
      <x:c r="F60" s="225">
        <x:v>210</x:v>
      </x:c>
      <x:c r="G60" s="225">
        <x:v>210</x:v>
      </x:c>
      <x:c r="H60" s="225">
        <x:f>F60*B60</x:f>
      </x:c>
      <x:c r="I60" s="225">
        <x:f>G60*B60</x:f>
      </x:c>
      <x:c r="J60" s="225">
        <x:f>F60*0.23*3*B60</x:f>
      </x:c>
      <x:c r="K60" s="225">
        <x:f>G60*0.23*3*B60</x:f>
      </x:c>
    </x:row>
    <x:row r="61" spans="1:23" x14ac:dyDescent="0.25">
      <x:c r="B61" s="224">
        <x:f>'(1)'!B61+'(2)'!B61+'(3)'!B61+'(4)'!B61+'(5)'!B61+'(6)'!B61+'(7)'!B61+'(8)'!B61+'(9)'!B61+'(10)'!B61+'(11)'!B61+'(12)'!B61</x:f>
      </x:c>
      <x:c r="D61" s="229" t="s">
        <x:v>42</x:v>
      </x:c>
      <x:c r="E61" s="82"/>
      <x:c r="F61" s="225">
        <x:v>210</x:v>
      </x:c>
      <x:c r="G61" s="225">
        <x:v>210</x:v>
      </x:c>
      <x:c r="H61" s="225">
        <x:f>F61*B61</x:f>
      </x:c>
      <x:c r="I61" s="225">
        <x:f>G61*B61</x:f>
      </x:c>
      <x:c r="J61" s="225">
        <x:f>F61*0.23*3*B61</x:f>
      </x:c>
      <x:c r="K61" s="225">
        <x:f>G61*0.23*3*B61</x:f>
      </x:c>
    </x:row>
    <x:row r="62" spans="1:23" x14ac:dyDescent="0.25">
      <x:c r="B62" s="224">
        <x:f>'(1)'!B62+'(2)'!B62+'(3)'!B62+'(4)'!B62+'(5)'!B62+'(6)'!B62+'(7)'!B62+'(8)'!B62+'(9)'!B62+'(10)'!B62+'(11)'!B62+'(12)'!B62</x:f>
      </x:c>
      <x:c r="C62" s="0" t="s">
        <x:v>51</x:v>
      </x:c>
      <x:c r="D62" s="227" t="s">
        <x:v>40</x:v>
      </x:c>
      <x:c r="E62" s="82"/>
      <x:c r="F62" s="225">
        <x:v>210</x:v>
      </x:c>
      <x:c r="G62" s="225">
        <x:v>210</x:v>
      </x:c>
      <x:c r="H62" s="225">
        <x:f>F62*B62</x:f>
      </x:c>
      <x:c r="I62" s="225">
        <x:f>G62*B62</x:f>
      </x:c>
      <x:c r="J62" s="225">
        <x:f>F62*0.23*3*B62</x:f>
      </x:c>
      <x:c r="K62" s="225">
        <x:f>G62*0.23*3*B62</x:f>
      </x:c>
    </x:row>
    <x:row r="63" spans="1:23" x14ac:dyDescent="0.25">
      <x:c r="B63" s="224">
        <x:f>'(1)'!B63+'(2)'!B63+'(3)'!B63+'(4)'!B63+'(5)'!B63+'(6)'!B63+'(7)'!B63+'(8)'!B63+'(9)'!B63+'(10)'!B63+'(11)'!B63+'(12)'!B63</x:f>
      </x:c>
      <x:c r="D63" s="228" t="s">
        <x:v>41</x:v>
      </x:c>
      <x:c r="E63" s="3"/>
      <x:c r="F63" s="225">
        <x:v>210</x:v>
      </x:c>
      <x:c r="G63" s="225">
        <x:v>210</x:v>
      </x:c>
      <x:c r="H63" s="225">
        <x:f>F63*B63</x:f>
      </x:c>
      <x:c r="I63" s="225">
        <x:f>G63*B63</x:f>
      </x:c>
      <x:c r="J63" s="225">
        <x:f>F63*0.23*3*B63</x:f>
      </x:c>
      <x:c r="K63" s="225">
        <x:f>G63*0.23*3*B63</x:f>
      </x:c>
    </x:row>
    <x:row r="64" spans="1:23" x14ac:dyDescent="0.25">
      <x:c r="B64" s="224">
        <x:f>'(1)'!B64+'(2)'!B64+'(3)'!B64+'(4)'!B64+'(5)'!B64+'(6)'!B64+'(7)'!B64+'(8)'!B64+'(9)'!B64+'(10)'!B64+'(11)'!B64+'(12)'!B64</x:f>
      </x:c>
      <x:c r="D64" s="229" t="s">
        <x:v>42</x:v>
      </x:c>
      <x:c r="E64" s="82"/>
      <x:c r="F64" s="225">
        <x:v>210</x:v>
      </x:c>
      <x:c r="G64" s="225">
        <x:v>210</x:v>
      </x:c>
      <x:c r="H64" s="225">
        <x:f>F64*B64</x:f>
      </x:c>
      <x:c r="I64" s="225">
        <x:f>G64*B64</x:f>
      </x:c>
      <x:c r="J64" s="225">
        <x:f>F64*0.23*3*B64</x:f>
      </x:c>
      <x:c r="K64" s="225">
        <x:f>G64*0.23*3*B64</x:f>
      </x:c>
    </x:row>
    <x:row r="65" spans="1:23" x14ac:dyDescent="0.25">
      <x:c r="B65" s="224">
        <x:f>'(1)'!B65+'(2)'!B65+'(3)'!B65+'(4)'!B65+'(5)'!B65+'(6)'!B65+'(7)'!B65+'(8)'!B65+'(9)'!B65+'(10)'!B65+'(11)'!B65+'(12)'!B65</x:f>
      </x:c>
      <x:c r="C65" s="0" t="s">
        <x:v>52</x:v>
      </x:c>
      <x:c r="D65" s="227" t="s">
        <x:v>40</x:v>
      </x:c>
      <x:c r="E65" s="82"/>
      <x:c r="F65" s="225">
        <x:v>210</x:v>
      </x:c>
      <x:c r="G65" s="225">
        <x:v>210</x:v>
      </x:c>
      <x:c r="H65" s="225">
        <x:f>F65*B65</x:f>
      </x:c>
      <x:c r="I65" s="225">
        <x:f>G65*B65</x:f>
      </x:c>
      <x:c r="J65" s="225">
        <x:f>F65*0.23*3*B65</x:f>
      </x:c>
      <x:c r="K65" s="225">
        <x:f>G65*0.23*3*B65</x:f>
      </x:c>
    </x:row>
    <x:row r="66" spans="1:23" x14ac:dyDescent="0.25">
      <x:c r="B66" s="224">
        <x:f>'(1)'!B66+'(2)'!B66+'(3)'!B66+'(4)'!B66+'(5)'!B66+'(6)'!B66+'(7)'!B66+'(8)'!B66+'(9)'!B66+'(10)'!B66+'(11)'!B66+'(12)'!B66</x:f>
      </x:c>
      <x:c r="D66" s="228" t="s">
        <x:v>41</x:v>
      </x:c>
      <x:c r="E66" s="3"/>
      <x:c r="F66" s="225">
        <x:v>210</x:v>
      </x:c>
      <x:c r="G66" s="225">
        <x:v>210</x:v>
      </x:c>
      <x:c r="H66" s="225">
        <x:f>F66*B66</x:f>
      </x:c>
      <x:c r="I66" s="225">
        <x:f>G66*B66</x:f>
      </x:c>
      <x:c r="J66" s="225">
        <x:f>F66*0.23*3*B66</x:f>
      </x:c>
      <x:c r="K66" s="225">
        <x:f>G66*0.23*3*B66</x:f>
      </x:c>
    </x:row>
    <x:row r="67" spans="1:23" x14ac:dyDescent="0.25">
      <x:c r="B67" s="224">
        <x:f>'(1)'!B67+'(2)'!B67+'(3)'!B67+'(4)'!B67+'(5)'!B67+'(6)'!B67+'(7)'!B67+'(8)'!B67+'(9)'!B67+'(10)'!B67+'(11)'!B67+'(12)'!B67</x:f>
      </x:c>
      <x:c r="D67" s="229" t="s">
        <x:v>42</x:v>
      </x:c>
      <x:c r="E67" s="82"/>
      <x:c r="F67" s="225">
        <x:v>210</x:v>
      </x:c>
      <x:c r="G67" s="225">
        <x:v>210</x:v>
      </x:c>
      <x:c r="H67" s="225">
        <x:f>F67*B67</x:f>
      </x:c>
      <x:c r="I67" s="225">
        <x:f>G67*B67</x:f>
      </x:c>
      <x:c r="J67" s="225">
        <x:f>F67*0.23*3*B67</x:f>
      </x:c>
      <x:c r="K67" s="225">
        <x:f>G67*0.23*3*B67</x:f>
      </x:c>
    </x:row>
    <x:row r="68" spans="1:23" x14ac:dyDescent="0.25">
      <x:c r="B68" s="223"/>
      <x:c r="D68" s="3"/>
      <x:c r="F68" s="4"/>
      <x:c r="G68" s="4"/>
      <x:c r="H68" s="4"/>
      <x:c r="I68" s="4"/>
      <x:c r="J68" s="4"/>
      <x:c r="K68" s="4"/>
    </x:row>
    <x:row r="69" spans="1:23" x14ac:dyDescent="0.25">
      <x:c r="B69" s="223"/>
      <x:c r="C69" s="2" t="s">
        <x:v>53</x:v>
      </x:c>
      <x:c r="D69" s="3"/>
      <x:c r="F69" s="4"/>
      <x:c r="G69" s="4"/>
      <x:c r="H69" s="4"/>
      <x:c r="I69" s="4"/>
      <x:c r="J69" s="4"/>
      <x:c r="K69" s="4"/>
    </x:row>
    <x:row r="70" spans="1:23" x14ac:dyDescent="0.25">
      <x:c r="B70" s="224">
        <x:f>'(1)'!B70+'(2)'!B70+'(3)'!B70+'(4)'!B70+'(5)'!B70+'(6)'!B70+'(7)'!B70+'(8)'!B70+'(9)'!B70+'(10)'!B70+'(11)'!B70+'(12)'!B70</x:f>
      </x:c>
      <x:c r="C70" s="0" t="s">
        <x:v>54</x:v>
      </x:c>
      <x:c r="D70" s="3"/>
      <x:c r="F70" s="225">
        <x:v>3.7</x:v>
      </x:c>
      <x:c r="G70" s="226"/>
      <x:c r="H70" s="225">
        <x:f>F70*B70</x:f>
      </x:c>
      <x:c r="I70" s="226"/>
      <x:c r="J70" s="225">
        <x:f>F70*0.23*3*B70</x:f>
      </x:c>
      <x:c r="K70" s="226"/>
    </x:row>
    <x:row r="71" spans="1:23" x14ac:dyDescent="0.25">
      <x:c r="B71" s="223"/>
      <x:c r="D71" s="3"/>
      <x:c r="F71" s="4"/>
      <x:c r="G71" s="4"/>
      <x:c r="H71" s="4"/>
      <x:c r="I71" s="4"/>
      <x:c r="J71" s="4"/>
      <x:c r="K71" s="4"/>
    </x:row>
    <x:row r="72" spans="1:23" x14ac:dyDescent="0.25">
      <x:c r="B72" s="223"/>
      <x:c r="C72" s="2" t="s">
        <x:v>55</x:v>
      </x:c>
      <x:c r="D72" s="3"/>
      <x:c r="F72" s="4"/>
      <x:c r="G72" s="4"/>
      <x:c r="H72" s="4"/>
      <x:c r="I72" s="4"/>
      <x:c r="J72" s="4"/>
      <x:c r="K72" s="4"/>
    </x:row>
    <x:row r="73" spans="1:23" x14ac:dyDescent="0.25">
      <x:c r="B73" s="224">
        <x:f>'(1)'!B73+'(2)'!B73+'(3)'!B73+'(4)'!B73+'(5)'!B73+'(6)'!B73+'(7)'!B73+'(8)'!B73+'(9)'!B73+'(10)'!B73+'(11)'!B73+'(12)'!B73</x:f>
      </x:c>
      <x:c r="C73" s="0" t="s">
        <x:v>56</x:v>
      </x:c>
      <x:c r="D73" s="3"/>
      <x:c r="F73" s="225">
        <x:v>5.8</x:v>
      </x:c>
      <x:c r="G73" s="226"/>
      <x:c r="H73" s="225">
        <x:f>F73*B73</x:f>
      </x:c>
      <x:c r="I73" s="226"/>
      <x:c r="J73" s="225">
        <x:f>F73*0.23*3*B73</x:f>
      </x:c>
      <x:c r="K73" s="226"/>
    </x:row>
    <x:row r="74" spans="1:23" x14ac:dyDescent="0.25">
      <x:c r="B74" s="224">
        <x:f>'(1)'!B74+'(2)'!B74+'(3)'!B74+'(4)'!B74+'(5)'!B74+'(6)'!B74+'(7)'!B74+'(8)'!B74+'(9)'!B74+'(10)'!B74+'(11)'!B74+'(12)'!B74</x:f>
      </x:c>
      <x:c r="C74" s="0" t="s">
        <x:v>57</x:v>
      </x:c>
      <x:c r="D74" s="3"/>
      <x:c r="F74" s="225">
        <x:v>22</x:v>
      </x:c>
      <x:c r="G74" s="226"/>
      <x:c r="H74" s="225">
        <x:f>F74*B74</x:f>
      </x:c>
      <x:c r="I74" s="226"/>
      <x:c r="J74" s="225">
        <x:f>F74*0.23*3*B74</x:f>
      </x:c>
      <x:c r="K74" s="226"/>
    </x:row>
    <x:row r="75" spans="1:23" x14ac:dyDescent="0.25">
      <x:c r="B75" s="224">
        <x:f>'(1)'!B75+'(2)'!B75+'(3)'!B75+'(4)'!B75+'(5)'!B75+'(6)'!B75+'(7)'!B75+'(8)'!B75+'(9)'!B75+'(10)'!B75+'(11)'!B75+'(12)'!B75</x:f>
      </x:c>
      <x:c r="C75" s="0" t="s">
        <x:v>58</x:v>
      </x:c>
      <x:c r="D75" s="3"/>
      <x:c r="F75" s="225">
        <x:v>36</x:v>
      </x:c>
      <x:c r="G75" s="226"/>
      <x:c r="H75" s="225">
        <x:f>F75*B75</x:f>
      </x:c>
      <x:c r="I75" s="226"/>
      <x:c r="J75" s="225">
        <x:f>F75*0.23*3*B75</x:f>
      </x:c>
      <x:c r="K75" s="226"/>
    </x:row>
    <x:row r="76" spans="1:23" x14ac:dyDescent="0.25">
      <x:c r="B76" s="223"/>
    </x:row>
    <x:row r="77" spans="1:23" ht="16.5" customHeight="1" x14ac:dyDescent="0.3">
      <x:c r="B77" s="223"/>
      <x:c r="C77" s="7" t="s">
        <x:v>59</x:v>
      </x:c>
      <x:c r="D77" s="7"/>
      <x:c r="E77" s="7"/>
      <x:c r="F77" s="230">
        <x:f>SUM(H5:H75)</x:f>
      </x:c>
    </x:row>
    <x:row r="78" spans="1:23" ht="15.75" customHeight="1" x14ac:dyDescent="0.25">
      <x:c r="B78" s="223"/>
      <x:c r="C78" s="7" t="s">
        <x:v>60</x:v>
      </x:c>
      <x:c r="D78" s="7"/>
      <x:c r="E78" s="7"/>
      <x:c r="F78" s="230">
        <x:f>SUM(I5:I67)</x:f>
      </x:c>
      <x:c r="H78" s="75" t="s">
        <x:v>61</x:v>
      </x:c>
      <x:c r="I78" s="231"/>
      <x:c r="J78" s="232"/>
      <x:c r="K78" s="233"/>
    </x:row>
    <x:row r="79" spans="1:23" ht="15.75" customHeight="1" x14ac:dyDescent="0.25">
      <x:c r="B79" s="223"/>
      <x:c r="C79" s="7" t="s">
        <x:v>62</x:v>
      </x:c>
      <x:c r="D79" s="7"/>
      <x:c r="E79" s="7"/>
      <x:c r="F79" s="230">
        <x:f>SUM(J5:J75)</x:f>
      </x:c>
      <x:c r="G79" s="52"/>
      <x:c r="H79" s="76" t="s">
        <x:v>63</x:v>
      </x:c>
      <x:c r="I79" s="234"/>
      <x:c r="J79" s="235"/>
      <x:c r="K79" s="236"/>
    </x:row>
    <x:row r="80" spans="1:23" ht="15.75" customHeight="1" x14ac:dyDescent="0.25">
      <x:c r="B80" s="223"/>
      <x:c r="C80" s="7" t="s">
        <x:v>64</x:v>
      </x:c>
      <x:c r="D80" s="7"/>
      <x:c r="E80" s="7"/>
      <x:c r="F80" s="230">
        <x:f>SUM(K5:K67)</x:f>
      </x:c>
      <x:c r="G80" s="11"/>
      <x:c r="H80" s="77" t="s">
        <x:v>65</x:v>
      </x:c>
      <x:c r="I80" s="237"/>
      <x:c r="J80" s="238"/>
      <x:c r="K80" s="239"/>
    </x:row>
    <x:row r="81" spans="1:23" ht="16.5" customHeight="1" x14ac:dyDescent="0.3">
      <x:c r="B81" s="223"/>
      <x:c r="C81" s="7" t="s">
        <x:v>66</x:v>
      </x:c>
      <x:c r="D81" s="7"/>
      <x:c r="E81" s="7"/>
      <x:c r="F81" s="240">
        <x:f>MAX(F79:F80)/630</x:f>
      </x:c>
      <x:c r="G81" s="10"/>
      <x:c r="H81" s="78" t="s">
        <x:v>67</x:v>
      </x:c>
      <x:c r="I81" s="241"/>
      <x:c r="J81" s="242"/>
      <x:c r="K81" s="243"/>
    </x:row>
    <x:row r="82" spans="1:23" ht="15.75" customHeight="1" x14ac:dyDescent="0.25">
      <x:c r="C82" s="7"/>
      <x:c r="D82" s="7"/>
      <x:c r="E82" s="7"/>
      <x:c r="F82" s="53"/>
      <x:c r="H82" s="10"/>
      <x:c r="I82" s="11"/>
    </x:row>
    <x:row r="83" spans="1:23" x14ac:dyDescent="0.25">
      <x:c r="I83" s="10"/>
    </x:row>
    <x:row r="84" spans="1:23" x14ac:dyDescent="0.25"/>
    <x:row r="85" spans="1:23" x14ac:dyDescent="0.25">
      <x:c r="K85" s="74"/>
    </x:row>
  </x:sheetData>
  <x:sheetProtection sheet="1" objects="1"/>
  <x:mergeCells count="4">
    <x:mergeCell ref="B1:J1"/>
    <x:mergeCell ref="I79:K79"/>
    <x:mergeCell ref="I80:K80"/>
    <x:mergeCell ref="I81:K8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ignoredErrors>
    <x:ignoredError sqref="F77 F79:F81" evalError="1"/>
  </x:ignoredErrors>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9AF383B-220A-45F0-8392-C89D24138167}" mc:Ignorable="x14ac xr xr2 xr3">
  <x:sheetPr>
    <x:outlinePr summaryBelow="1" summaryRight="1"/>
  </x:sheetPr>
  <x:dimension ref="A1"/>
  <x:sheetViews>
    <x:sheetView workbookViewId="0"/>
  </x:sheetViews>
  <x:sheetFormatPr defaultRowHeight="15" x14ac:dyDescent="0.25"/>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5861365-54EA-4EA8-BB58-9DE04AF5C984}" mc:Ignorable="x14ac xr xr2 xr3">
  <x:sheetPr>
    <x:tabColor rgb="FF669900"/>
    <x:outlinePr summaryBelow="1" summaryRight="1"/>
  </x:sheetPr>
  <x:dimension ref="A1:AM1048369"/>
  <x:sheetViews>
    <x:sheetView tabSelected="1" topLeftCell="K5" zoomScale="70" zoomScaleNormal="70" workbookViewId="0">
      <x:selection activeCell="AD24" sqref="AD24"/>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v>2</x:v>
      </x:c>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6">
        <x:v>100</x:v>
      </x:c>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v>0</x:v>
      </x:c>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12DA7AC-E073-442B-BFBD-2292C54CFAEB}" mc:Ignorable="x14ac xr xr2 xr3">
  <x:sheetPr>
    <x:tabColor rgb="FFCC66FF"/>
    <x:outlinePr summaryBelow="1" summaryRight="1"/>
  </x:sheetPr>
  <x:dimension ref="A1:AM1048369"/>
  <x:sheetViews>
    <x:sheetView topLeftCell="O48" zoomScale="85" zoomScaleNormal="85" workbookViewId="0">
      <x:selection activeCell="AD64" sqref="AD64"/>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6057F99-3B9C-4018-8C62-6C14E3EF18C4}" mc:Ignorable="x14ac xr xr2 xr3">
  <x:sheetPr>
    <x:tabColor rgb="FF66FFFF"/>
    <x:outlinePr summaryBelow="1" summaryRight="1"/>
  </x:sheetPr>
  <x:dimension ref="A1:AM1048369"/>
  <x:sheetViews>
    <x:sheetView topLeftCell="O1" zoomScale="85" zoomScaleNormal="85" workbookViewId="0">
      <x:selection activeCell="AD66" sqref="AD66"/>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13F4C6B-FFCA-4502-8D43-E208B110B7BA}" mc:Ignorable="x14ac xr xr2 xr3">
  <x:sheetPr>
    <x:tabColor rgb="FF004C39"/>
    <x:outlinePr summaryBelow="1" summaryRight="1"/>
  </x:sheetPr>
  <x:dimension ref="A1:AM1048369"/>
  <x:sheetViews>
    <x:sheetView topLeftCell="O10" zoomScale="85" zoomScaleNormal="85" workbookViewId="0">
      <x:selection activeCell="AD19" sqref="AD19"/>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81C51BD-D400-410B-ACCF-CB108C9F8797}" mc:Ignorable="x14ac xr xr2 xr3">
  <x:sheetPr>
    <x:tabColor rgb="FF4C1300"/>
    <x:outlinePr summaryBelow="1" summaryRight="1"/>
  </x:sheetPr>
  <x:dimension ref="A1:AM1048369"/>
  <x:sheetViews>
    <x:sheetView topLeftCell="A31" zoomScale="85" zoomScaleNormal="85" workbookViewId="0">
      <x:selection activeCell="G63" sqref="G63"/>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0C4EAD2-B5B9-43AB-AF7E-AEAE9EF6CA84}" mc:Ignorable="x14ac xr xr2 xr3">
  <x:sheetPr>
    <x:tabColor rgb="FFFF00FF"/>
    <x:outlinePr summaryBelow="1" summaryRight="1"/>
  </x:sheetPr>
  <x:dimension ref="A1:AM1048369"/>
  <x:sheetViews>
    <x:sheetView topLeftCell="A28" zoomScale="85" zoomScaleNormal="85" workbookViewId="0">
      <x:selection activeCell="G61" sqref="G61"/>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27:X27 W18:AC26 W28:AC36" name="te wijzigen_5"/>
    <x:protectedRange algorithmName="SHA-512" hashValue="FkuOLiiU2mjKZgvwGx8E75bKrmCqIjGITea9lnmTbF8YFwSgwmmO0sguAEuD9q85ceVdVlC+ktHNmpwn2QGGzg==" saltValue="cinkr5+j1hImB5wqxc8bTA==" spinCount="100000" sqref="W71:X71 W62:AC70 W72:AC80" name="te wijzigen_6"/>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FC0E5B7-A6F2-42CA-A5C6-58E02EEE936A}" mc:Ignorable="x14ac xr xr2 xr3">
  <x:sheetPr>
    <x:tabColor rgb="FF00FF00"/>
    <x:outlinePr summaryBelow="1" summaryRight="1"/>
  </x:sheetPr>
  <x:dimension ref="A1:AM1048369"/>
  <x:sheetViews>
    <x:sheetView topLeftCell="A30" zoomScale="85" zoomScaleNormal="85" workbookViewId="0">
      <x:selection activeCell="G65" sqref="G65"/>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27:X27 W18:AC26 W28:AC36" name="te wijzigen_5"/>
    <x:protectedRange algorithmName="SHA-512" hashValue="FkuOLiiU2mjKZgvwGx8E75bKrmCqIjGITea9lnmTbF8YFwSgwmmO0sguAEuD9q85ceVdVlC+ktHNmpwn2QGGzg==" saltValue="cinkr5+j1hImB5wqxc8bTA==" spinCount="100000" sqref="W71:X71 W62:AC70 W72:AC80" name="te wijzigen_6"/>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BD3EEF7-829A-408E-9833-EBEEBAC493EF}" mc:Ignorable="x14ac xr xr2 xr3">
  <x:sheetPr>
    <x:tabColor rgb="FF7C00A5"/>
    <x:outlinePr summaryBelow="1" summaryRight="1"/>
  </x:sheetPr>
  <x:dimension ref="A1:AM1048369"/>
  <x:sheetViews>
    <x:sheetView zoomScale="85" zoomScaleNormal="85" workbookViewId="0">
      <x:selection activeCell="G58" sqref="G58"/>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7372AD0-FB72-439C-8CF5-E7F781108557}" mc:Ignorable="x14ac xr xr2 xr3">
  <x:sheetPr>
    <x:tabColor rgb="FFFF9900"/>
    <x:outlinePr summaryBelow="1" summaryRight="1"/>
  </x:sheetPr>
  <x:dimension ref="A1:AM1048369"/>
  <x:sheetViews>
    <x:sheetView zoomScale="85" zoomScaleNormal="85" workbookViewId="0">
      <x:selection activeCell="G60" sqref="G60"/>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C33B10E-A299-41CE-8821-B4D951981AC7}" mc:Ignorable="x14ac xr xr2 xr3">
  <x:sheetPr>
    <x:tabColor rgb="FF009900"/>
    <x:outlinePr summaryBelow="1" summaryRight="1"/>
  </x:sheetPr>
  <x:dimension ref="A1:AM1048369"/>
  <x:sheetViews>
    <x:sheetView topLeftCell="A28" zoomScale="85" zoomScaleNormal="85" workbookViewId="0">
      <x:selection activeCell="G61" sqref="G61"/>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7C00353-F80D-4605-A40E-86A7B92F9A2B}" mc:Ignorable="x14ac xr xr2 xr3">
  <x:sheetPr>
    <x:tabColor rgb="FFFF7C80"/>
    <x:outlinePr summaryBelow="1" summaryRight="1"/>
  </x:sheetPr>
  <x:dimension ref="A1:AM1048369"/>
  <x:sheetViews>
    <x:sheetView topLeftCell="A31" zoomScale="85" zoomScaleNormal="85" workbookViewId="0">
      <x:selection activeCell="G59" sqref="G59"/>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2989E00-DB2D-46CE-BA9C-D8801F0809F2}" mc:Ignorable="x14ac xr xr2 xr3">
  <x:sheetPr>
    <x:tabColor rgb="FF33CCCC"/>
    <x:outlinePr summaryBelow="1" summaryRight="1"/>
  </x:sheetPr>
  <x:dimension ref="A1:AM1048369"/>
  <x:sheetViews>
    <x:sheetView zoomScale="85" zoomScaleNormal="85" workbookViewId="0">
      <x:selection activeCell="G62" sqref="G62"/>
    </x:sheetView>
  </x:sheetViews>
  <x:sheetFormatPr defaultRowHeight="15" x14ac:dyDescent="0.25"/>
  <x:cols>
    <x:col min="1" max="1" width="13.285156" style="0" bestFit="1" customWidth="1"/>
    <x:col min="2" max="2" width="10.285156" style="162"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0" style="0" hidden="1" customWidth="1"/>
  </x:cols>
  <x:sheetData>
    <x:row r="1" spans="1:39" ht="24" customHeight="1" x14ac:dyDescent="0.4">
      <x:c r="A1" s="11" t="s">
        <x:v>68</x:v>
      </x:c>
      <x:c r="B1" s="244"/>
      <x:c r="C1" s="11" t="s">
        <x:v>69</x:v>
      </x:c>
      <x:c r="D1" s="85"/>
      <x:c r="E1" s="85"/>
      <x:c r="F1" s="203" t="s">
        <x:v>70</x:v>
      </x:c>
      <x:c r="G1" s="204"/>
      <x:c r="H1" s="204"/>
      <x:c r="I1" s="204"/>
      <x:c r="J1" s="204"/>
      <x:c r="K1" s="205"/>
      <x:c r="O1" s="245" t="s">
        <x:v>71</x:v>
      </x:c>
      <x:c r="P1" s="246"/>
      <x:c r="Q1" s="246"/>
      <x:c r="R1" s="246"/>
      <x:c r="S1" s="246"/>
      <x:c r="T1" s="246"/>
      <x:c r="U1" s="246"/>
      <x:c r="V1" s="246"/>
      <x:c r="W1" s="247"/>
      <x:c r="X1" s="247"/>
      <x:c r="Y1" s="247"/>
      <x:c r="Z1" s="247"/>
      <x:c r="AD1" s="248" t="s">
        <x:v>72</x:v>
      </x:c>
    </x:row>
    <x:row r="2" spans="1:39" ht="60" customHeight="1" s="6" customFormat="1" x14ac:dyDescent="0.35">
      <x:c r="B2" s="161" t="s">
        <x:v>13</x:v>
      </x:c>
      <x:c r="C2" s="5" t="s">
        <x:v>14</x:v>
      </x:c>
      <x:c r="F2" s="86" t="s">
        <x:v>15</x:v>
      </x:c>
      <x:c r="G2" s="87" t="s">
        <x:v>16</x:v>
      </x:c>
      <x:c r="H2" s="88" t="s">
        <x:v>73</x:v>
      </x:c>
      <x:c r="I2" s="88" t="s">
        <x:v>74</x:v>
      </x:c>
      <x:c r="J2" s="88" t="s">
        <x:v>75</x:v>
      </x:c>
      <x:c r="K2" s="89" t="s">
        <x:v>76</x:v>
      </x:c>
      <x:c r="M2" s="71" t="s">
        <x:v>77</x:v>
      </x:c>
      <x:c r="O2" s="121" t="s">
        <x:v>78</x:v>
      </x:c>
      <x:c r="P2" s="106"/>
      <x:c r="Q2" s="106"/>
      <x:c r="R2" s="106"/>
      <x:c r="S2" s="106"/>
      <x:c r="T2" s="106"/>
      <x:c r="U2" s="106"/>
      <x:c r="V2" s="106"/>
      <x:c r="W2" s="106"/>
      <x:c r="X2" s="106"/>
      <x:c r="Y2" s="106"/>
      <x:c r="Z2" s="106"/>
      <x:c r="AA2" s="106"/>
      <x:c r="AB2" s="106"/>
      <x:c r="AC2" s="106"/>
      <x:c r="AD2" s="106"/>
      <x:c r="AE2" s="107"/>
      <x:c r="AF2" s="0"/>
    </x:row>
    <x:row r="3" spans="1:39" ht="18.75" customHeight="1" x14ac:dyDescent="0.3">
      <x:c r="O3" s="122" t="s">
        <x:v>79</x:v>
      </x:c>
      <x:c r="P3" s="109"/>
      <x:c r="Q3" s="109"/>
      <x:c r="R3" s="109"/>
      <x:c r="S3" s="109"/>
      <x:c r="T3" s="109"/>
      <x:c r="U3" s="109"/>
      <x:c r="V3" s="109"/>
      <x:c r="W3" s="109"/>
      <x:c r="X3" s="109"/>
      <x:c r="Y3" s="109"/>
      <x:c r="Z3" s="109"/>
      <x:c r="AA3" s="109"/>
      <x:c r="AB3" s="109"/>
      <x:c r="AC3" s="109"/>
      <x:c r="AD3" s="109"/>
      <x:c r="AE3" s="110"/>
    </x:row>
    <x:row r="4" spans="1:39" ht="19.5" customHeight="1" x14ac:dyDescent="0.35">
      <x:c r="B4" s="249"/>
      <x:c r="C4" s="2" t="s">
        <x:v>21</x:v>
      </x:c>
      <x:c r="N4" s="72"/>
      <x:c r="O4" s="108"/>
      <x:c r="P4" s="109"/>
      <x:c r="Q4" s="109"/>
      <x:c r="R4" s="109"/>
      <x:c r="S4" s="109"/>
      <x:c r="T4" s="109"/>
      <x:c r="U4" s="109"/>
      <x:c r="V4" s="109"/>
      <x:c r="W4" s="109"/>
      <x:c r="X4" s="109"/>
      <x:c r="Y4" s="109"/>
      <x:c r="Z4" s="109"/>
      <x:c r="AA4" s="109"/>
      <x:c r="AB4" s="109"/>
      <x:c r="AC4" s="109"/>
      <x:c r="AD4" s="109"/>
      <x:c r="AE4" s="110"/>
    </x:row>
    <x:row r="5" spans="1:39" ht="18.75" customHeight="1" x14ac:dyDescent="0.3">
      <x:c r="B5" s="250"/>
      <x:c r="C5" s="0" t="s">
        <x:v>22</x:v>
      </x:c>
      <x:c r="F5" s="225">
        <x:v>8.1</x:v>
      </x:c>
      <x:c r="G5" s="225">
        <x:v>9.2</x:v>
      </x:c>
      <x:c r="H5" s="225">
        <x:f>F5*B5</x:f>
      </x:c>
      <x:c r="I5" s="225">
        <x:f>G5*B5</x:f>
      </x:c>
      <x:c r="J5" s="225">
        <x:f>F5*0.23*3*B5</x:f>
      </x:c>
      <x:c r="K5" s="225">
        <x:f>G5*0.23*3*B5</x:f>
      </x:c>
      <x:c r="M5" s="251"/>
      <x:c r="O5" s="105"/>
      <x:c r="P5" s="106"/>
      <x:c r="Q5" s="106"/>
      <x:c r="R5" s="106"/>
      <x:c r="S5" s="106"/>
      <x:c r="T5" s="106"/>
      <x:c r="U5" s="106"/>
      <x:c r="V5" s="106"/>
      <x:c r="W5" s="106"/>
      <x:c r="X5" s="106"/>
      <x:c r="Y5" s="106"/>
      <x:c r="Z5" s="106"/>
      <x:c r="AA5" s="106"/>
      <x:c r="AB5" s="106"/>
      <x:c r="AC5" s="106"/>
      <x:c r="AD5" s="106"/>
      <x:c r="AE5" s="107"/>
    </x:row>
    <x:row r="6" spans="1:39" ht="18.75" customHeight="1" x14ac:dyDescent="0.3">
      <x:c r="B6" s="250"/>
      <x:c r="C6" s="0" t="s">
        <x:v>23</x:v>
      </x:c>
      <x:c r="F6" s="225">
        <x:v>7.1</x:v>
      </x:c>
      <x:c r="G6" s="225">
        <x:v>7</x:v>
      </x:c>
      <x:c r="H6" s="225">
        <x:f>F6*B6</x:f>
      </x:c>
      <x:c r="I6" s="225">
        <x:f>G6*B6</x:f>
      </x:c>
      <x:c r="J6" s="225">
        <x:f>F6*0.23*3*B6</x:f>
      </x:c>
      <x:c r="K6" s="225">
        <x:f>G6*0.23*3*B6</x:f>
      </x:c>
      <x:c r="M6" s="251"/>
      <x:c r="O6" s="108"/>
      <x:c r="P6" s="109"/>
      <x:c r="Q6" s="109"/>
      <x:c r="R6" s="109"/>
      <x:c r="S6" s="109"/>
      <x:c r="T6" s="109"/>
      <x:c r="U6" s="109"/>
      <x:c r="V6" s="109"/>
      <x:c r="W6" s="109"/>
      <x:c r="X6" s="109"/>
      <x:c r="Y6" s="109"/>
      <x:c r="Z6" s="109"/>
      <x:c r="AA6" s="109"/>
      <x:c r="AB6" s="109"/>
      <x:c r="AC6" s="109"/>
      <x:c r="AD6" s="109"/>
      <x:c r="AE6" s="110"/>
    </x:row>
    <x:row r="7" spans="1:39" ht="18.75" customHeight="1" x14ac:dyDescent="0.3">
      <x:c r="B7" s="250"/>
      <x:c r="C7" s="0" t="s">
        <x:v>24</x:v>
      </x:c>
      <x:c r="F7" s="225">
        <x:v>6.4</x:v>
      </x:c>
      <x:c r="G7" s="225">
        <x:v>5.9</x:v>
      </x:c>
      <x:c r="H7" s="225">
        <x:f>F7*B7</x:f>
      </x:c>
      <x:c r="I7" s="225">
        <x:f>G7*B7</x:f>
      </x:c>
      <x:c r="J7" s="225">
        <x:f>F7*0.23*3*B7</x:f>
      </x:c>
      <x:c r="K7" s="225">
        <x:f>G7*0.23*3*B7</x:f>
      </x:c>
      <x:c r="M7" s="251"/>
      <x:c r="O7" s="108"/>
      <x:c r="P7" s="109"/>
      <x:c r="Q7" s="109"/>
      <x:c r="R7" s="109"/>
      <x:c r="S7" s="109"/>
      <x:c r="T7" s="109"/>
      <x:c r="U7" s="109"/>
      <x:c r="V7" s="109"/>
      <x:c r="W7" s="109"/>
      <x:c r="X7" s="109"/>
      <x:c r="Y7" s="109"/>
      <x:c r="Z7" s="109"/>
      <x:c r="AA7" s="109"/>
      <x:c r="AB7" s="109"/>
      <x:c r="AC7" s="109"/>
      <x:c r="AD7" s="109"/>
      <x:c r="AE7" s="110"/>
    </x:row>
    <x:row r="8" spans="1:39" ht="18.75" customHeight="1" x14ac:dyDescent="0.3">
      <x:c r="B8" s="250"/>
      <x:c r="C8" s="0" t="s">
        <x:v>25</x:v>
      </x:c>
      <x:c r="F8" s="225">
        <x:v>6.8</x:v>
      </x:c>
      <x:c r="G8" s="225">
        <x:v>5.9</x:v>
      </x:c>
      <x:c r="H8" s="225">
        <x:f>F8*B8</x:f>
      </x:c>
      <x:c r="I8" s="225">
        <x:f>G8*B8</x:f>
      </x:c>
      <x:c r="J8" s="225">
        <x:f>F8*0.23*3*B8</x:f>
      </x:c>
      <x:c r="K8" s="225">
        <x:f>G8*0.23*3*B8</x:f>
      </x:c>
      <x:c r="M8" s="251"/>
      <x:c r="O8" s="108"/>
      <x:c r="P8" s="109"/>
      <x:c r="Q8" s="109"/>
      <x:c r="R8" s="109"/>
      <x:c r="S8" s="109"/>
      <x:c r="T8" s="109"/>
      <x:c r="U8" s="109"/>
      <x:c r="V8" s="109"/>
      <x:c r="W8" s="109"/>
      <x:c r="X8" s="109"/>
      <x:c r="Y8" s="109"/>
      <x:c r="Z8" s="109"/>
      <x:c r="AA8" s="109"/>
      <x:c r="AB8" s="109"/>
      <x:c r="AC8" s="109"/>
      <x:c r="AD8" s="109"/>
      <x:c r="AE8" s="110"/>
    </x:row>
    <x:row r="9" spans="1:39" ht="18.75" customHeight="1" x14ac:dyDescent="0.3">
      <x:c r="B9" s="249"/>
      <x:c r="F9" s="4"/>
      <x:c r="G9" s="4"/>
      <x:c r="H9" s="4"/>
      <x:c r="I9" s="4"/>
      <x:c r="J9" s="4"/>
      <x:c r="K9" s="4"/>
      <x:c r="M9" s="251"/>
      <x:c r="O9" s="108"/>
      <x:c r="P9" s="109"/>
      <x:c r="Q9" s="109"/>
      <x:c r="R9" s="109"/>
      <x:c r="S9" s="109"/>
      <x:c r="T9" s="109"/>
      <x:c r="U9" s="109"/>
      <x:c r="V9" s="109"/>
      <x:c r="W9" s="109"/>
      <x:c r="X9" s="109"/>
      <x:c r="Y9" s="109"/>
      <x:c r="Z9" s="109"/>
      <x:c r="AA9" s="109"/>
      <x:c r="AB9" s="109"/>
      <x:c r="AC9" s="109"/>
      <x:c r="AD9" s="109"/>
      <x:c r="AE9" s="110"/>
    </x:row>
    <x:row r="10" spans="1:39" ht="18.75" customHeight="1" x14ac:dyDescent="0.3">
      <x:c r="B10" s="249"/>
      <x:c r="C10" s="2" t="s">
        <x:v>26</x:v>
      </x:c>
      <x:c r="F10" s="4"/>
      <x:c r="G10" s="4"/>
      <x:c r="H10" s="4"/>
      <x:c r="I10" s="4"/>
      <x:c r="J10" s="4"/>
      <x:c r="K10" s="4"/>
      <x:c r="M10" s="251"/>
      <x:c r="O10" s="108"/>
      <x:c r="P10" s="109"/>
      <x:c r="Q10" s="109"/>
      <x:c r="R10" s="109"/>
      <x:c r="S10" s="109"/>
      <x:c r="T10" s="109"/>
      <x:c r="U10" s="109"/>
      <x:c r="V10" s="109"/>
      <x:c r="W10" s="109"/>
      <x:c r="X10" s="109"/>
      <x:c r="Y10" s="109"/>
      <x:c r="Z10" s="109"/>
      <x:c r="AA10" s="109"/>
      <x:c r="AB10" s="109"/>
      <x:c r="AC10" s="109"/>
      <x:c r="AD10" s="109"/>
      <x:c r="AE10" s="110"/>
    </x:row>
    <x:row r="11" spans="1:39" ht="15.75" customHeight="1" x14ac:dyDescent="0.3">
      <x:c r="B11" s="250"/>
      <x:c r="C11" s="0" t="s">
        <x:v>22</x:v>
      </x:c>
      <x:c r="F11" s="225">
        <x:v>3.9</x:v>
      </x:c>
      <x:c r="G11" s="225">
        <x:v>8.9</x:v>
      </x:c>
      <x:c r="H11" s="225">
        <x:f>F11*B11</x:f>
      </x:c>
      <x:c r="I11" s="225">
        <x:f>G11*B11</x:f>
      </x:c>
      <x:c r="J11" s="225">
        <x:f>F11*0.23*3*B11</x:f>
      </x:c>
      <x:c r="K11" s="225">
        <x:f>G11*0.23*3*B11</x:f>
      </x:c>
      <x:c r="M11" s="251"/>
      <x:c r="O11" s="45"/>
      <x:c r="P11" s="46"/>
      <x:c r="Q11" s="46"/>
      <x:c r="R11" s="46"/>
      <x:c r="S11" s="46"/>
      <x:c r="T11" s="46"/>
      <x:c r="U11" s="46"/>
      <x:c r="V11" s="46"/>
      <x:c r="W11" s="111"/>
      <x:c r="X11" s="111"/>
      <x:c r="Y11" s="111"/>
      <x:c r="Z11" s="111"/>
      <x:c r="AA11" s="111"/>
      <x:c r="AB11" s="111"/>
      <x:c r="AC11" s="111"/>
      <x:c r="AD11" s="46"/>
      <x:c r="AE11" s="123"/>
    </x:row>
    <x:row r="12" spans="1:39" x14ac:dyDescent="0.25">
      <x:c r="B12" s="250"/>
      <x:c r="C12" s="0" t="s">
        <x:v>27</x:v>
      </x:c>
      <x:c r="F12" s="225">
        <x:v>3.9</x:v>
      </x:c>
      <x:c r="G12" s="225">
        <x:v>6.8</x:v>
      </x:c>
      <x:c r="H12" s="225">
        <x:f>F12*B12</x:f>
      </x:c>
      <x:c r="I12" s="225">
        <x:f>G12*B12</x:f>
      </x:c>
      <x:c r="J12" s="225">
        <x:f>F12*0.23*3*B12</x:f>
      </x:c>
      <x:c r="K12" s="225">
        <x:f>G12*0.23*3*B12</x:f>
      </x:c>
      <x:c r="M12" s="251"/>
      <x:c r="O12" s="252" t="s">
        <x:v>80</x:v>
      </x:c>
      <x:c r="P12" s="128"/>
      <x:c r="Q12" s="90"/>
      <x:c r="R12" s="115"/>
      <x:c r="S12" s="128"/>
      <x:c r="T12" s="90"/>
      <x:c r="U12" s="115"/>
      <x:c r="V12" s="128"/>
      <x:c r="W12" s="144" t="s">
        <x:v>81</x:v>
      </x:c>
      <x:c r="X12" s="141" t="s">
        <x:v>82</x:v>
      </x:c>
      <x:c r="Y12" s="141" t="s">
        <x:v>83</x:v>
      </x:c>
      <x:c r="Z12" s="141" t="s">
        <x:v>84</x:v>
      </x:c>
      <x:c r="AA12" s="141" t="s">
        <x:v>85</x:v>
      </x:c>
      <x:c r="AB12" s="141" t="s">
        <x:v>86</x:v>
      </x:c>
      <x:c r="AC12" s="141" t="s">
        <x:v>87</x:v>
      </x:c>
      <x:c r="AD12" s="114"/>
      <x:c r="AE12" s="25"/>
      <x:c r="AF12" s="19"/>
    </x:row>
    <x:row r="13" spans="1:39" x14ac:dyDescent="0.25">
      <x:c r="B13" s="250"/>
      <x:c r="C13" s="0" t="s">
        <x:v>24</x:v>
      </x:c>
      <x:c r="F13" s="225">
        <x:v>3.9</x:v>
      </x:c>
      <x:c r="G13" s="225">
        <x:v>5.7</x:v>
      </x:c>
      <x:c r="H13" s="225">
        <x:f>F13*B13</x:f>
      </x:c>
      <x:c r="I13" s="225">
        <x:f>G13*B13</x:f>
      </x:c>
      <x:c r="J13" s="225">
        <x:f>F13*0.23*3*B13</x:f>
      </x:c>
      <x:c r="K13" s="225">
        <x:f>G13*0.23*3*B13</x:f>
      </x:c>
      <x:c r="M13" s="251"/>
      <x:c r="O13" s="70" t="s">
        <x:v>88</x:v>
      </x:c>
      <x:c r="P13" s="29"/>
      <x:c r="Q13" s="30"/>
      <x:c r="R13" s="31"/>
      <x:c r="S13" s="29"/>
      <x:c r="T13" s="30"/>
      <x:c r="U13" s="31"/>
      <x:c r="V13" s="29"/>
      <x:c r="W13" s="145" t="s">
        <x:v>89</x:v>
      </x:c>
      <x:c r="X13" s="93" t="s">
        <x:v>90</x:v>
      </x:c>
      <x:c r="Y13" s="93" t="s">
        <x:v>91</x:v>
      </x:c>
      <x:c r="Z13" s="93" t="s">
        <x:v>92</x:v>
      </x:c>
      <x:c r="AA13" s="93" t="s">
        <x:v>93</x:v>
      </x:c>
      <x:c r="AB13" s="93" t="s">
        <x:v>94</x:v>
      </x:c>
      <x:c r="AC13" s="93" t="s">
        <x:v>95</x:v>
      </x:c>
      <x:c r="AD13" s="115" t="s">
        <x:v>96</x:v>
      </x:c>
      <x:c r="AE13" s="26"/>
      <x:c r="AF13" s="19"/>
    </x:row>
    <x:row r="14" spans="1:39" x14ac:dyDescent="0.25">
      <x:c r="B14" s="250"/>
      <x:c r="C14" s="0" t="s">
        <x:v>25</x:v>
      </x:c>
      <x:c r="F14" s="225">
        <x:v>3.9</x:v>
      </x:c>
      <x:c r="G14" s="225">
        <x:v>5.7</x:v>
      </x:c>
      <x:c r="H14" s="225">
        <x:f>F14*B14</x:f>
      </x:c>
      <x:c r="I14" s="225">
        <x:f>G14*B14</x:f>
      </x:c>
      <x:c r="J14" s="225">
        <x:f>F14*0.23*3*B14</x:f>
      </x:c>
      <x:c r="K14" s="225">
        <x:f>G14*0.23*3*B14</x:f>
      </x:c>
      <x:c r="M14" s="251"/>
      <x:c r="O14" s="27"/>
      <x:c r="P14" s="55" t="s">
        <x:v>97</x:v>
      </x:c>
      <x:c r="Q14" s="21"/>
      <x:c r="R14" s="56"/>
      <x:c r="S14" s="55" t="s">
        <x:v>98</x:v>
      </x:c>
      <x:c r="T14" s="21"/>
      <x:c r="U14" s="56"/>
      <x:c r="V14" s="55"/>
      <x:c r="W14" s="146">
        <x:v>63</x:v>
      </x:c>
      <x:c r="X14" s="94">
        <x:v>80</x:v>
      </x:c>
      <x:c r="Y14" s="94">
        <x:v>100</x:v>
      </x:c>
      <x:c r="Z14" s="94">
        <x:v>125</x:v>
      </x:c>
      <x:c r="AA14" s="94">
        <x:v>160</x:v>
      </x:c>
      <x:c r="AB14" s="94">
        <x:v>200</x:v>
      </x:c>
      <x:c r="AC14" s="94">
        <x:v>250</x:v>
      </x:c>
      <x:c r="AD14" s="115" t="s">
        <x:v>99</x:v>
      </x:c>
      <x:c r="AE14" s="26"/>
      <x:c r="AF14" s="19"/>
    </x:row>
    <x:row r="15" spans="1:39" x14ac:dyDescent="0.25">
      <x:c r="B15" s="249"/>
      <x:c r="F15" s="4"/>
      <x:c r="G15" s="4"/>
      <x:c r="H15" s="4"/>
      <x:c r="I15" s="4"/>
      <x:c r="J15" s="4"/>
      <x:c r="K15" s="4"/>
      <x:c r="M15" s="251"/>
      <x:c r="O15" s="27"/>
      <x:c r="P15" s="55" t="s">
        <x:v>100</x:v>
      </x:c>
      <x:c r="Q15" s="21" t="s">
        <x:v>100</x:v>
      </x:c>
      <x:c r="R15" s="56" t="s">
        <x:v>100</x:v>
      </x:c>
      <x:c r="S15" s="55" t="s">
        <x:v>100</x:v>
      </x:c>
      <x:c r="T15" s="21" t="s">
        <x:v>100</x:v>
      </x:c>
      <x:c r="U15" s="56" t="s">
        <x:v>100</x:v>
      </x:c>
      <x:c r="V15" s="55" t="s">
        <x:v>101</x:v>
      </x:c>
      <x:c r="W15" s="146" t="s">
        <x:v>100</x:v>
      </x:c>
      <x:c r="X15" s="94" t="s">
        <x:v>100</x:v>
      </x:c>
      <x:c r="Y15" s="94" t="s">
        <x:v>100</x:v>
      </x:c>
      <x:c r="Z15" s="94" t="s">
        <x:v>100</x:v>
      </x:c>
      <x:c r="AA15" s="94" t="s">
        <x:v>100</x:v>
      </x:c>
      <x:c r="AB15" s="94" t="s">
        <x:v>100</x:v>
      </x:c>
      <x:c r="AC15" s="94" t="s">
        <x:v>100</x:v>
      </x:c>
      <x:c r="AD15" s="115" t="s">
        <x:v>102</x:v>
      </x:c>
      <x:c r="AE15" s="26"/>
      <x:c r="AF15" s="19"/>
    </x:row>
    <x:row r="16" spans="1:39" x14ac:dyDescent="0.25">
      <x:c r="B16" s="249"/>
      <x:c r="C16" s="2" t="s">
        <x:v>28</x:v>
      </x:c>
      <x:c r="J16" s="4"/>
      <x:c r="K16" s="4"/>
      <x:c r="M16" s="251"/>
      <x:c r="O16" s="27"/>
      <x:c r="P16" s="55"/>
      <x:c r="R16" s="56"/>
      <x:c r="S16" s="55"/>
      <x:c r="U16" s="56"/>
      <x:c r="V16" s="55"/>
      <x:c r="W16" s="146">
        <x:v>0.25</x:v>
      </x:c>
      <x:c r="X16" s="94">
        <x:v>0.25</x:v>
      </x:c>
      <x:c r="Y16" s="94">
        <x:v>0.204</x:v>
      </x:c>
      <x:c r="Z16" s="94">
        <x:v>0.163</x:v>
      </x:c>
      <x:c r="AA16" s="94">
        <x:v>0.128</x:v>
      </x:c>
      <x:c r="AB16" s="94">
        <x:v>0.092</x:v>
      </x:c>
      <x:c r="AC16" s="94">
        <x:v>0.062</x:v>
      </x:c>
      <x:c r="AD16" s="115"/>
      <x:c r="AE16" s="26"/>
      <x:c r="AF16" s="19"/>
    </x:row>
    <x:row r="17" spans="1:39" x14ac:dyDescent="0.25">
      <x:c r="B17" s="250"/>
      <x:c r="C17" s="0" t="s">
        <x:v>22</x:v>
      </x:c>
      <x:c r="F17" s="225">
        <x:v>7.54</x:v>
      </x:c>
      <x:c r="G17" s="225">
        <x:v>9.2</x:v>
      </x:c>
      <x:c r="H17" s="225">
        <x:f>F17*B17</x:f>
      </x:c>
      <x:c r="I17" s="225">
        <x:f>G17*B17</x:f>
      </x:c>
      <x:c r="J17" s="225">
        <x:f>F17*0.23*3*B17</x:f>
      </x:c>
      <x:c r="K17" s="225">
        <x:f>G17*0.23*3*B17</x:f>
      </x:c>
      <x:c r="M17" s="251"/>
      <x:c r="O17" s="28" t="s">
        <x:v>103</x:v>
      </x:c>
      <x:c r="P17" s="29" t="s">
        <x:v>104</x:v>
      </x:c>
      <x:c r="Q17" s="30" t="s">
        <x:v>105</x:v>
      </x:c>
      <x:c r="R17" s="31" t="s">
        <x:v>106</x:v>
      </x:c>
      <x:c r="S17" s="29" t="s">
        <x:v>104</x:v>
      </x:c>
      <x:c r="T17" s="30" t="s">
        <x:v>105</x:v>
      </x:c>
      <x:c r="U17" s="31" t="s">
        <x:v>106</x:v>
      </x:c>
      <x:c r="V17" s="29"/>
      <x:c r="W17" s="146">
        <x:v>0.25</x:v>
      </x:c>
      <x:c r="X17" s="94">
        <x:v>0.25</x:v>
      </x:c>
      <x:c r="Y17" s="94">
        <x:v>0.25</x:v>
      </x:c>
      <x:c r="Z17" s="94">
        <x:v>0.25</x:v>
      </x:c>
      <x:c r="AA17" s="94">
        <x:v>0.25</x:v>
      </x:c>
      <x:c r="AB17" s="94">
        <x:v>0.218</x:v>
      </x:c>
      <x:c r="AC17" s="94">
        <x:v>0.171</x:v>
      </x:c>
      <x:c r="AD17" s="31" t="s">
        <x:v>107</x:v>
      </x:c>
      <x:c r="AE17" s="32"/>
      <x:c r="AF17" s="19"/>
      <x:c r="AG17" s="253"/>
      <x:c r="AH17" s="253"/>
      <x:c r="AI17" s="253" t="s">
        <x:v>108</x:v>
      </x:c>
      <x:c r="AJ17" s="253"/>
      <x:c r="AK17" s="253"/>
      <x:c r="AL17" s="253"/>
      <x:c r="AM17" s="253"/>
    </x:row>
    <x:row r="18" spans="1:39" x14ac:dyDescent="0.25">
      <x:c r="B18" s="250"/>
      <x:c r="C18" s="0" t="s">
        <x:v>23</x:v>
      </x:c>
      <x:c r="F18" s="225">
        <x:v>6.8</x:v>
      </x:c>
      <x:c r="G18" s="225">
        <x:v>7</x:v>
      </x:c>
      <x:c r="H18" s="225">
        <x:f>F18*B18</x:f>
      </x:c>
      <x:c r="I18" s="225">
        <x:f>G18*B18</x:f>
      </x:c>
      <x:c r="J18" s="225">
        <x:f>F18*0.23*3*B18</x:f>
      </x:c>
      <x:c r="K18" s="225">
        <x:f>G18*0.23*3*B18</x:f>
      </x:c>
      <x:c r="M18" s="251"/>
      <x:c r="O18" s="27" t="s">
        <x:v>109</x:v>
      </x:c>
      <x:c r="P18" s="33">
        <x:v>0.129</x:v>
      </x:c>
      <x:c r="Q18" s="62">
        <x:v>0.073</x:v>
      </x:c>
      <x:c r="R18" s="34">
        <x:f>SQRT(P18^2+Q18^2)</x:f>
      </x:c>
      <x:c r="S18" s="33">
        <x:f>+P18*AD18/1000</x:f>
      </x:c>
      <x:c r="T18" s="62">
        <x:f>+AD18*Q18/1000</x:f>
      </x:c>
      <x:c r="U18" s="34"/>
      <x:c r="V18" s="95">
        <x:v>359</x:v>
      </x:c>
      <x:c r="W18" s="147">
        <x:f>IF(W14&lt;=V18+3,+AD18,"X")</x:f>
      </x:c>
      <x:c r="X18" s="96">
        <x:f>IF(X14&lt;=V18+3,+AD18,"X")</x:f>
      </x:c>
      <x:c r="Y18" s="96">
        <x:f>IF(Y14&lt;=V18+3,+AD18,"X")</x:f>
      </x:c>
      <x:c r="Z18" s="96">
        <x:f>IF(Z14&lt;=V18+3,+AD18,"X")</x:f>
      </x:c>
      <x:c r="AA18" s="96">
        <x:f>IF(AA14&lt;=V18+3,+AD18,"X")</x:f>
      </x:c>
      <x:c r="AB18" s="96">
        <x:f>IF(AB14&lt;=V18+3,+AD18,"X")</x:f>
      </x:c>
      <x:c r="AC18" s="96">
        <x:f>IF(AC14&lt;=V18+3,+AD18,"X")</x:f>
      </x:c>
      <x:c r="AD18" s="254"/>
      <x:c r="AE18" s="35" t="s">
        <x:v>109</x:v>
      </x:c>
      <x:c r="AF18" s="19"/>
      <x:c r="AG18" s="255">
        <x:f>IF(OR(W18=AD18,AND(AD18=0,W18="X")),"OK","niet OK")</x:f>
      </x:c>
      <x:c r="AH18" s="255">
        <x:f>IF(OR(X18=AD18,AND(AD18=0,X18="X")),"OK","niet OK")</x:f>
      </x:c>
      <x:c r="AI18" s="255">
        <x:f>IF(OR(Y18=AD18,AND(AD18=0,Y18="X")),"OK","niet OK")</x:f>
      </x:c>
      <x:c r="AJ18" s="255">
        <x:f>IF(OR(Z18=AD18,AND(AD18=0,Z18="X")),"OK","niet OK")</x:f>
      </x:c>
      <x:c r="AK18" s="255">
        <x:f>IF(OR(AA18=AD18,AND(AD18=0,AA18="X")),"OK","niet OK")</x:f>
      </x:c>
      <x:c r="AL18" s="255">
        <x:f>IF(OR(AB18=AD18,AND(AD18=0,AB18="X")),"OK","niet OK")</x:f>
      </x:c>
      <x:c r="AM18" s="255">
        <x:f>IF(OR(AC18=AD18,AND(AD18=0,AC18="X")),"OK","niet OK")</x:f>
      </x:c>
    </x:row>
    <x:row r="19" spans="1:39" x14ac:dyDescent="0.25">
      <x:c r="B19" s="250"/>
      <x:c r="C19" s="0" t="s">
        <x:v>29</x:v>
      </x:c>
      <x:c r="F19" s="225">
        <x:v>6.3</x:v>
      </x:c>
      <x:c r="G19" s="225">
        <x:v>5.9</x:v>
      </x:c>
      <x:c r="H19" s="225">
        <x:f>F19*B19</x:f>
      </x:c>
      <x:c r="I19" s="225">
        <x:f>G19*B19</x:f>
      </x:c>
      <x:c r="J19" s="225">
        <x:f>F19*0.23*3*B19</x:f>
      </x:c>
      <x:c r="K19" s="225">
        <x:f>G19*0.23*3*B19</x:f>
      </x:c>
      <x:c r="M19" s="251"/>
      <x:c r="O19" s="27" t="s">
        <x:v>110</x:v>
      </x:c>
      <x:c r="P19" s="33">
        <x:v>0.206</x:v>
      </x:c>
      <x:c r="Q19" s="62">
        <x:v>0.079</x:v>
      </x:c>
      <x:c r="R19" s="34">
        <x:f>SQRT(P19^2+Q19^2)</x:f>
      </x:c>
      <x:c r="S19" s="33">
        <x:f>+P19*AD19/1000</x:f>
      </x:c>
      <x:c r="T19" s="62">
        <x:f>+AD19*Q19/1000</x:f>
      </x:c>
      <x:c r="U19" s="34"/>
      <x:c r="V19" s="95">
        <x:v>272</x:v>
      </x:c>
      <x:c r="W19" s="148">
        <x:f>IF(W14&lt;=V19+3,+AD19,"X")</x:f>
      </x:c>
      <x:c r="X19" s="97">
        <x:f>IF(X14&lt;=V19+3,+AD19,"X")</x:f>
      </x:c>
      <x:c r="Y19" s="97">
        <x:f>IF(Y14&lt;=V19+3,+AD19,"X")</x:f>
      </x:c>
      <x:c r="Z19" s="97">
        <x:f>IF(Z14&lt;=V19+3,+AD19,"X")</x:f>
      </x:c>
      <x:c r="AA19" s="97">
        <x:f>IF(AA14&lt;=V19+3,+AD19,"X")</x:f>
      </x:c>
      <x:c r="AB19" s="97">
        <x:f>IF(AB14&lt;=V19+3,+AD19,"X")</x:f>
      </x:c>
      <x:c r="AC19" s="97">
        <x:f>IF(AC14&lt;=V19+3,+AD19,"X")</x:f>
      </x:c>
      <x:c r="AD19" s="254"/>
      <x:c r="AE19" s="35" t="s">
        <x:v>110</x:v>
      </x:c>
      <x:c r="AF19" s="19"/>
      <x:c r="AG19" s="255">
        <x:f>IF(OR(W19=AD19,AND(AD19=0,W19="X")),"OK","niet OK")</x:f>
      </x:c>
      <x:c r="AH19" s="255">
        <x:f>IF(OR(X19=AD19,AND(AD19=0,X19="X")),"OK","niet OK")</x:f>
      </x:c>
      <x:c r="AI19" s="255">
        <x:f>IF(OR(Y19=AD19,AND(AD19=0,Y19="X")),"OK","niet OK")</x:f>
      </x:c>
      <x:c r="AJ19" s="255">
        <x:f>IF(OR(Z19=AD19,AND(AD19=0,Z19="X")),"OK","niet OK")</x:f>
      </x:c>
      <x:c r="AK19" s="255">
        <x:f>IF(OR(AA19=AD19,AND(AD19=0,AA19="X")),"OK","niet OK")</x:f>
      </x:c>
      <x:c r="AL19" s="255">
        <x:f>IF(OR(AB19=AD19,AND(AD19=0,AB19="X")),"OK","niet OK")</x:f>
      </x:c>
      <x:c r="AM19" s="255">
        <x:f>IF(OR(AC19=AD19,AND(AD19=0,AC19="X")),"OK","niet OK")</x:f>
      </x:c>
    </x:row>
    <x:row r="20" spans="1:39" x14ac:dyDescent="0.25">
      <x:c r="B20" s="250"/>
      <x:c r="C20" s="0" t="s">
        <x:v>25</x:v>
      </x:c>
      <x:c r="F20" s="225">
        <x:v>6.4</x:v>
      </x:c>
      <x:c r="G20" s="225">
        <x:v>5.9</x:v>
      </x:c>
      <x:c r="H20" s="225">
        <x:f>F20*B20</x:f>
      </x:c>
      <x:c r="I20" s="225">
        <x:f>G20*B20</x:f>
      </x:c>
      <x:c r="J20" s="225">
        <x:f>F20*0.23*3*B20</x:f>
      </x:c>
      <x:c r="K20" s="225">
        <x:f>G20*0.23*3*B20</x:f>
      </x:c>
      <x:c r="M20" s="251"/>
      <x:c r="O20" s="27" t="s">
        <x:v>111</x:v>
      </x:c>
      <x:c r="P20" s="33">
        <x:v>0.281</x:v>
      </x:c>
      <x:c r="Q20" s="62">
        <x:v>0.081</x:v>
      </x:c>
      <x:c r="R20" s="34">
        <x:f>SQRT(P20^2+Q20^2)</x:f>
      </x:c>
      <x:c r="S20" s="33">
        <x:f>+P20*AD20/1000</x:f>
      </x:c>
      <x:c r="T20" s="62">
        <x:f>+AD20*Q20/1000</x:f>
      </x:c>
      <x:c r="U20" s="34"/>
      <x:c r="V20" s="95">
        <x:v>243</x:v>
      </x:c>
      <x:c r="W20" s="148">
        <x:f>IF(W14&lt;=V20+3,+AD20,"X")</x:f>
      </x:c>
      <x:c r="X20" s="97">
        <x:f>IF(X14&lt;=V20+3,+AD20,"X")</x:f>
      </x:c>
      <x:c r="Y20" s="97">
        <x:f>IF(Y14&lt;=V20+3,+AD20,"X")</x:f>
      </x:c>
      <x:c r="Z20" s="97">
        <x:f>IF(Z14&lt;=V20+3,+AD20,"X")</x:f>
      </x:c>
      <x:c r="AA20" s="97">
        <x:f>IF(AA14&lt;=V20+3,+AD20,"X")</x:f>
      </x:c>
      <x:c r="AB20" s="97">
        <x:f>IF(AB14&lt;=V20+3,+AD20,"X")</x:f>
      </x:c>
      <x:c r="AC20" s="97">
        <x:f>IF(AC14&lt;=V20+3,+AD20,"X")</x:f>
      </x:c>
      <x:c r="AD20" s="254"/>
      <x:c r="AE20" s="35" t="s">
        <x:v>111</x:v>
      </x:c>
      <x:c r="AF20" s="19"/>
      <x:c r="AG20" s="255">
        <x:f>IF(OR(W20=AD20,AND(AD20=0,W20="X")),"OK","niet OK")</x:f>
      </x:c>
      <x:c r="AH20" s="255">
        <x:f>IF(OR(X20=AD20,AND(AD20=0,X20="X")),"OK","niet OK")</x:f>
      </x:c>
      <x:c r="AI20" s="255">
        <x:f>IF(OR(Y20=AD20,AND(AD20=0,Y20="X")),"OK","niet OK")</x:f>
      </x:c>
      <x:c r="AJ20" s="255">
        <x:f>IF(OR(Z20=AD20,AND(AD20=0,Z20="X")),"OK","niet OK")</x:f>
      </x:c>
      <x:c r="AK20" s="255">
        <x:f>IF(OR(AA20=AD20,AND(AD20=0,AA20="X")),"OK","niet OK")</x:f>
      </x:c>
      <x:c r="AL20" s="255">
        <x:f>IF(OR(AB20=AD20,AND(AD20=0,AB20="X")),"OK","niet OK")</x:f>
      </x:c>
      <x:c r="AM20" s="255">
        <x:f>IF(OR(AC20=AD20,AND(AD20=0,AC20="X")),"OK","niet OK")</x:f>
      </x:c>
    </x:row>
    <x:row r="21" spans="1:39" x14ac:dyDescent="0.25">
      <x:c r="B21" s="249"/>
      <x:c r="F21" s="4"/>
      <x:c r="G21" s="4"/>
      <x:c r="H21" s="4"/>
      <x:c r="I21" s="4"/>
      <x:c r="J21" s="4"/>
      <x:c r="K21" s="4"/>
      <x:c r="M21" s="251"/>
      <x:c r="O21" s="27" t="s">
        <x:v>112</x:v>
      </x:c>
      <x:c r="P21" s="33">
        <x:v>0.32</x:v>
      </x:c>
      <x:c r="Q21" s="62">
        <x:v>0.082</x:v>
      </x:c>
      <x:c r="R21" s="34">
        <x:f>SQRT(P21^2+Q21^2)</x:f>
      </x:c>
      <x:c r="S21" s="33">
        <x:f>+P21*AD21/1000</x:f>
      </x:c>
      <x:c r="T21" s="62">
        <x:f>+AD21*Q21/1000</x:f>
      </x:c>
      <x:c r="U21" s="34"/>
      <x:c r="V21" s="95">
        <x:v>213</x:v>
      </x:c>
      <x:c r="W21" s="148">
        <x:f>IF(W14&lt;=V21+3,+AD21,"X")</x:f>
      </x:c>
      <x:c r="X21" s="97">
        <x:f>IF(X14&lt;=V21+3,+AD21,"X")</x:f>
      </x:c>
      <x:c r="Y21" s="97">
        <x:f>IF(Y14&lt;=V21+3,+AD21,"X")</x:f>
      </x:c>
      <x:c r="Z21" s="97">
        <x:f>IF(Z14&lt;=V21+3,+AD21,"X")</x:f>
      </x:c>
      <x:c r="AA21" s="97">
        <x:f>IF(AA14&lt;=V21+3,+AD21,"X")</x:f>
      </x:c>
      <x:c r="AB21" s="97">
        <x:f>IF(AB14&lt;=V21+3,+AD21,"X")</x:f>
      </x:c>
      <x:c r="AC21" s="97">
        <x:f>IF(AC14&lt;=V21+3,+AD21,"X")</x:f>
      </x:c>
      <x:c r="AD21" s="254"/>
      <x:c r="AE21" s="35" t="s">
        <x:v>112</x:v>
      </x:c>
      <x:c r="AF21" s="19"/>
      <x:c r="AG21" s="255">
        <x:f>IF(OR(W21=AD21,AND(AD21=0,W21="X")),"OK","niet OK")</x:f>
      </x:c>
      <x:c r="AH21" s="255">
        <x:f>IF(OR(X21=AD21,AND(AD21=0,X21="X")),"OK","niet OK")</x:f>
      </x:c>
      <x:c r="AI21" s="255">
        <x:f>IF(OR(Y21=AD21,AND(AD21=0,Y21="X")),"OK","niet OK")</x:f>
      </x:c>
      <x:c r="AJ21" s="255">
        <x:f>IF(OR(Z21=AD21,AND(AD21=0,Z21="X")),"OK","niet OK")</x:f>
      </x:c>
      <x:c r="AK21" s="255">
        <x:f>IF(OR(AA21=AD21,AND(AD21=0,AA21="X")),"OK","niet OK")</x:f>
      </x:c>
      <x:c r="AL21" s="255">
        <x:f>IF(OR(AB21=AD21,AND(AD21=0,AB21="X")),"OK","niet OK")</x:f>
      </x:c>
      <x:c r="AM21" s="255">
        <x:f>IF(OR(AC21=AD21,AND(AD21=0,AC21="X")),"OK","niet OK")</x:f>
      </x:c>
    </x:row>
    <x:row r="22" spans="1:39" x14ac:dyDescent="0.25">
      <x:c r="B22" s="249"/>
      <x:c r="C22" s="2" t="s">
        <x:v>30</x:v>
      </x:c>
      <x:c r="F22" s="4"/>
      <x:c r="G22" s="4"/>
      <x:c r="H22" s="4"/>
      <x:c r="I22" s="4"/>
      <x:c r="J22" s="4"/>
      <x:c r="K22" s="4"/>
      <x:c r="M22" s="251"/>
      <x:c r="O22" s="27" t="s">
        <x:v>113</x:v>
      </x:c>
      <x:c r="P22" s="33">
        <x:v>0.443</x:v>
      </x:c>
      <x:c r="Q22" s="62">
        <x:f>(Q21+Q23)/2</x:f>
      </x:c>
      <x:c r="R22" s="34">
        <x:f>SQRT(P22^2+Q22^2)</x:f>
      </x:c>
      <x:c r="S22" s="33">
        <x:f>+P22*AD22/1000</x:f>
      </x:c>
      <x:c r="T22" s="62">
        <x:f>+AD22*Q22/1000</x:f>
      </x:c>
      <x:c r="U22" s="34"/>
      <x:c r="V22" s="95">
        <x:v>177</x:v>
      </x:c>
      <x:c r="W22" s="148">
        <x:f>IF(W14&lt;=V22+3,+AD22,"X")</x:f>
      </x:c>
      <x:c r="X22" s="97">
        <x:f>IF(X14&lt;=V22+3,+AD22,"X")</x:f>
      </x:c>
      <x:c r="Y22" s="97">
        <x:f>IF(Y14&lt;=V22+3,+AD22,"X")</x:f>
      </x:c>
      <x:c r="Z22" s="97">
        <x:f>IF(Z14&lt;=V22+3,+AD22,"X")</x:f>
      </x:c>
      <x:c r="AA22" s="97">
        <x:f>IF(AA14&lt;=V22+3,+AD22,"X")</x:f>
      </x:c>
      <x:c r="AB22" s="97">
        <x:f>IF(AB14&lt;=V22+3,+AD22,"X")</x:f>
      </x:c>
      <x:c r="AC22" s="97">
        <x:f>IF(AC14&lt;=V22+3,+AD22,"X")</x:f>
      </x:c>
      <x:c r="AD22" s="254"/>
      <x:c r="AE22" s="35" t="s">
        <x:v>113</x:v>
      </x:c>
      <x:c r="AF22" s="19"/>
      <x:c r="AG22" s="255">
        <x:f>IF(OR(W22=AD22,AND(AD22=0,W22="X")),"OK","niet OK")</x:f>
      </x:c>
      <x:c r="AH22" s="255">
        <x:f>IF(OR(X22=AD22,AND(AD22=0,X22="X")),"OK","niet OK")</x:f>
      </x:c>
      <x:c r="AI22" s="255">
        <x:f>IF(OR(Y22=AD22,AND(AD22=0,Y22="X")),"OK","niet OK")</x:f>
      </x:c>
      <x:c r="AJ22" s="255">
        <x:f>IF(OR(Z22=AD22,AND(AD22=0,Z22="X")),"OK","niet OK")</x:f>
      </x:c>
      <x:c r="AK22" s="255">
        <x:f>IF(OR(AA22=AD22,AND(AD22=0,AA22="X")),"OK","niet OK")</x:f>
      </x:c>
      <x:c r="AL22" s="255">
        <x:f>IF(OR(AB22=AD22,AND(AD22=0,AB22="X")),"OK","niet OK")</x:f>
      </x:c>
      <x:c r="AM22" s="255">
        <x:f>IF(OR(AC22=AD22,AND(AD22=0,AC22="X")),"OK","niet OK")</x:f>
      </x:c>
    </x:row>
    <x:row r="23" spans="1:39" x14ac:dyDescent="0.25">
      <x:c r="B23" s="250"/>
      <x:c r="C23" s="0" t="s">
        <x:v>31</x:v>
      </x:c>
      <x:c r="F23" s="225">
        <x:v>3.4</x:v>
      </x:c>
      <x:c r="G23" s="226"/>
      <x:c r="H23" s="225">
        <x:f>F23*B23</x:f>
      </x:c>
      <x:c r="I23" s="226"/>
      <x:c r="J23" s="225">
        <x:f>F23*0.23*3*B23</x:f>
      </x:c>
      <x:c r="K23" s="226"/>
      <x:c r="M23" s="251"/>
      <x:c r="O23" s="27" t="s">
        <x:v>114</x:v>
      </x:c>
      <x:c r="P23" s="33">
        <x:v>0.641</x:v>
      </x:c>
      <x:c r="Q23" s="62">
        <x:v>0.085</x:v>
      </x:c>
      <x:c r="R23" s="34">
        <x:f>SQRT(P23^2+Q23^2)</x:f>
      </x:c>
      <x:c r="S23" s="33">
        <x:f>+P23*AD23/1000</x:f>
      </x:c>
      <x:c r="T23" s="62">
        <x:f>+AD23*Q23/1000</x:f>
      </x:c>
      <x:c r="U23" s="34"/>
      <x:c r="V23" s="95">
        <x:v>144</x:v>
      </x:c>
      <x:c r="W23" s="148">
        <x:f>IF(W14&lt;=V23+3,+AD23,"X")</x:f>
      </x:c>
      <x:c r="X23" s="97">
        <x:f>IF(X14&lt;=V23+3,+AD23,"X")</x:f>
      </x:c>
      <x:c r="Y23" s="97">
        <x:f>IF(Y14&lt;=V23+3,+AD23,"X")</x:f>
      </x:c>
      <x:c r="Z23" s="97">
        <x:f>IF(Z14&lt;=V23+3,+AD23,"X")</x:f>
      </x:c>
      <x:c r="AA23" s="97">
        <x:f>IF(AA14&lt;=V23+3,+AD23,"X")</x:f>
      </x:c>
      <x:c r="AB23" s="97">
        <x:f>IF(AB14&lt;=V23+3,+AD23,"X")</x:f>
      </x:c>
      <x:c r="AC23" s="97">
        <x:f>IF(AC14&lt;=V23+3,+AD23,"X")</x:f>
      </x:c>
      <x:c r="AD23" s="254"/>
      <x:c r="AE23" s="35" t="s">
        <x:v>114</x:v>
      </x:c>
      <x:c r="AF23" s="19"/>
      <x:c r="AG23" s="255">
        <x:f>IF(OR(W23=AD23,AND(AD23=0,W23="X")),"OK","niet OK")</x:f>
      </x:c>
      <x:c r="AH23" s="255">
        <x:f>IF(OR(X23=AD23,AND(AD23=0,X23="X")),"OK","niet OK")</x:f>
      </x:c>
      <x:c r="AI23" s="255">
        <x:f>IF(OR(Y23=AD23,AND(AD23=0,Y23="X")),"OK","niet OK")</x:f>
      </x:c>
      <x:c r="AJ23" s="255">
        <x:f>IF(OR(Z23=AD23,AND(AD23=0,Z23="X")),"OK","niet OK")</x:f>
      </x:c>
      <x:c r="AK23" s="255">
        <x:f>IF(OR(AA23=AD23,AND(AD23=0,AA23="X")),"OK","niet OK")</x:f>
      </x:c>
      <x:c r="AL23" s="255">
        <x:f>IF(OR(AB23=AD23,AND(AD23=0,AB23="X")),"OK","niet OK")</x:f>
      </x:c>
      <x:c r="AM23" s="255">
        <x:f>IF(OR(AC23=AD23,AND(AD23=0,AC23="X")),"OK","niet OK")</x:f>
      </x:c>
    </x:row>
    <x:row r="24" spans="1:39" x14ac:dyDescent="0.25">
      <x:c r="B24" s="249"/>
      <x:c r="C24" s="0" t="s">
        <x:v>32</x:v>
      </x:c>
      <x:c r="F24" s="226"/>
      <x:c r="G24" s="226"/>
      <x:c r="H24" s="225">
        <x:f>J24*1000/(3*230)</x:f>
      </x:c>
      <x:c r="I24" s="226"/>
      <x:c r="J24" s="257"/>
      <x:c r="K24" s="226"/>
      <x:c r="M24" s="251"/>
      <x:c r="O24" s="27" t="s">
        <x:v>115</x:v>
      </x:c>
      <x:c r="P24" s="33">
        <x:v>0.868</x:v>
      </x:c>
      <x:c r="Q24" s="62">
        <x:v>0.101</x:v>
      </x:c>
      <x:c r="R24" s="34">
        <x:f>SQRT(P24^2+Q24^2)</x:f>
      </x:c>
      <x:c r="S24" s="33">
        <x:f>+P24*AD24/1000</x:f>
      </x:c>
      <x:c r="T24" s="62">
        <x:f>+AD24*Q24/1000</x:f>
      </x:c>
      <x:c r="U24" s="34"/>
      <x:c r="V24" s="95">
        <x:v>120</x:v>
      </x:c>
      <x:c r="W24" s="148">
        <x:f>IF(W14&lt;=V24+3,+AD24,"X")</x:f>
      </x:c>
      <x:c r="X24" s="97">
        <x:f>IF(X14&lt;=V24+3,+AD24,"X")</x:f>
      </x:c>
      <x:c r="Y24" s="97">
        <x:f>IF(Y14&lt;=V24+3,+AD24,"X")</x:f>
      </x:c>
      <x:c r="Z24" s="97">
        <x:f>IF(Z14&lt;=V24+3,+AD24,"X")</x:f>
      </x:c>
      <x:c r="AA24" s="97">
        <x:f>IF(AA14&lt;=V24+3,+AD24,"X")</x:f>
      </x:c>
      <x:c r="AB24" s="97">
        <x:f>IF(AB14&lt;=V24+3,+AD24,"X")</x:f>
      </x:c>
      <x:c r="AC24" s="97">
        <x:f>IF(AC14&lt;=V24+3,+AD24,"X")</x:f>
      </x:c>
      <x:c r="AD24" s="254"/>
      <x:c r="AE24" s="35" t="s">
        <x:v>115</x:v>
      </x:c>
      <x:c r="AF24" s="19"/>
      <x:c r="AG24" s="255">
        <x:f>IF(OR(W24=AD24,AND(AD24=0,W24="X")),"OK","niet OK")</x:f>
      </x:c>
      <x:c r="AH24" s="255">
        <x:f>IF(OR(X24=AD24,AND(AD24=0,X24="X")),"OK","niet OK")</x:f>
      </x:c>
      <x:c r="AI24" s="255">
        <x:f>IF(OR(Y24=AD24,AND(AD24=0,Y24="X")),"OK","niet OK")</x:f>
      </x:c>
      <x:c r="AJ24" s="255">
        <x:f>IF(OR(Z24=AD24,AND(AD24=0,Z24="X")),"OK","niet OK")</x:f>
      </x:c>
      <x:c r="AK24" s="255">
        <x:f>IF(OR(AA24=AD24,AND(AD24=0,AA24="X")),"OK","niet OK")</x:f>
      </x:c>
      <x:c r="AL24" s="255">
        <x:f>IF(OR(AB24=AD24,AND(AD24=0,AB24="X")),"OK","niet OK")</x:f>
      </x:c>
      <x:c r="AM24" s="255">
        <x:f>IF(OR(AC24=AD24,AND(AD24=0,AC24="X")),"OK","niet OK")</x:f>
      </x:c>
    </x:row>
    <x:row r="25" spans="1:39" x14ac:dyDescent="0.25">
      <x:c r="B25" s="249"/>
      <x:c r="F25" s="4"/>
      <x:c r="G25" s="4"/>
      <x:c r="H25" s="4"/>
      <x:c r="I25" s="4"/>
      <x:c r="J25" s="4"/>
      <x:c r="K25" s="4"/>
      <x:c r="M25" s="251"/>
      <x:c r="O25" s="27" t="s">
        <x:v>116</x:v>
      </x:c>
      <x:c r="P25" s="33">
        <x:v>1.2</x:v>
      </x:c>
      <x:c r="Q25" s="62">
        <x:v>0.094</x:v>
      </x:c>
      <x:c r="R25" s="34">
        <x:f>SQRT(P25^2+Q25^2)</x:f>
      </x:c>
      <x:c r="S25" s="33">
        <x:f>+P25*AD25/1000</x:f>
      </x:c>
      <x:c r="T25" s="62">
        <x:f>+AD25*Q25/1000</x:f>
      </x:c>
      <x:c r="U25" s="34"/>
      <x:c r="V25" s="95">
        <x:v>100</x:v>
      </x:c>
      <x:c r="W25" s="148">
        <x:f>IF(W14&lt;=V25+3,+AD25,"X")</x:f>
      </x:c>
      <x:c r="X25" s="97">
        <x:f>IF(X14&lt;=V25+3,+AD25,"X")</x:f>
      </x:c>
      <x:c r="Y25" s="97">
        <x:f>IF(Y14&lt;=V25+3,+AD25,"X")</x:f>
      </x:c>
      <x:c r="Z25" s="97">
        <x:f>IF(Z14&lt;=V25+3,+AD25,"X")</x:f>
      </x:c>
      <x:c r="AA25" s="97">
        <x:f>IF(AA14&lt;=V25+3,+AD25,"X")</x:f>
      </x:c>
      <x:c r="AB25" s="97">
        <x:f>IF(AB14&lt;=V25+3,+AD25,"X")</x:f>
      </x:c>
      <x:c r="AC25" s="97">
        <x:f>IF(AC14&lt;=V25+3,+AD25,"X")</x:f>
      </x:c>
      <x:c r="AD25" s="254"/>
      <x:c r="AE25" s="35" t="s">
        <x:v>116</x:v>
      </x:c>
      <x:c r="AF25" s="19"/>
      <x:c r="AG25" s="255">
        <x:f>IF(OR(W25=AD25,AND(AD25=0,W25="X")),"OK","niet OK")</x:f>
      </x:c>
      <x:c r="AH25" s="255">
        <x:f>IF(OR(X25=AD25,AND(AD25=0,X25="X")),"OK","niet OK")</x:f>
      </x:c>
      <x:c r="AI25" s="255">
        <x:f>IF(OR(Y25=AD25,AND(AD25=0,Y25="X")),"OK","niet OK")</x:f>
      </x:c>
      <x:c r="AJ25" s="255">
        <x:f>IF(OR(Z25=AD25,AND(AD25=0,Z25="X")),"OK","niet OK")</x:f>
      </x:c>
      <x:c r="AK25" s="255">
        <x:f>IF(OR(AA25=AD25,AND(AD25=0,AA25="X")),"OK","niet OK")</x:f>
      </x:c>
      <x:c r="AL25" s="255">
        <x:f>IF(OR(AB25=AD25,AND(AD25=0,AB25="X")),"OK","niet OK")</x:f>
      </x:c>
      <x:c r="AM25" s="255">
        <x:f>IF(OR(AC25=AD25,AND(AD25=0,AC25="X")),"OK","niet OK")</x:f>
      </x:c>
    </x:row>
    <x:row r="26" spans="1:39" x14ac:dyDescent="0.25">
      <x:c r="B26" s="249"/>
      <x:c r="C26" s="2" t="s">
        <x:v>34</x:v>
      </x:c>
      <x:c r="F26" s="4"/>
      <x:c r="G26" s="4"/>
      <x:c r="H26" s="4"/>
      <x:c r="I26" s="4"/>
      <x:c r="J26" s="4"/>
      <x:c r="K26" s="4"/>
      <x:c r="M26" s="251"/>
      <x:c r="O26" s="27" t="s">
        <x:v>117</x:v>
      </x:c>
      <x:c r="P26" s="33">
        <x:v>1.91</x:v>
      </x:c>
      <x:c r="Q26" s="62">
        <x:v>0.096</x:v>
      </x:c>
      <x:c r="R26" s="34">
        <x:f>SQRT(P26^2+Q26^2)</x:f>
      </x:c>
      <x:c r="S26" s="33">
        <x:f>+P26*AD26/1000</x:f>
      </x:c>
      <x:c r="T26" s="62">
        <x:f>+AD26*Q26/1000</x:f>
      </x:c>
      <x:c r="U26" s="34"/>
      <x:c r="V26" s="95">
        <x:v>78</x:v>
      </x:c>
      <x:c r="W26" s="148">
        <x:f>IF(W14&lt;=V26+3,+AD26,"X")</x:f>
      </x:c>
      <x:c r="X26" s="97">
        <x:f>IF(X14&lt;=V26+3,+AD26,"X")</x:f>
      </x:c>
      <x:c r="Y26" s="97">
        <x:f>IF(Y14&lt;=V26+3,+AD26,"X")</x:f>
      </x:c>
      <x:c r="Z26" s="97">
        <x:f>IF(Z14&lt;=V26+3,+AD26,"X")</x:f>
      </x:c>
      <x:c r="AA26" s="97">
        <x:f>IF(AA14&lt;=V26+3,+AD26,"X")</x:f>
      </x:c>
      <x:c r="AB26" s="97">
        <x:f>IF(AB14&lt;=V26+3,+AD26,"X")</x:f>
      </x:c>
      <x:c r="AC26" s="97">
        <x:f>IF(AC14&lt;=V26+3,+AD26,"X")</x:f>
      </x:c>
      <x:c r="AD26" s="254"/>
      <x:c r="AE26" s="35" t="s">
        <x:v>117</x:v>
      </x:c>
      <x:c r="AF26" s="19"/>
      <x:c r="AG26" s="255">
        <x:f>IF(OR(W26=AD26,AND(AD26=0,W26="X")),"OK","niet OK")</x:f>
      </x:c>
      <x:c r="AH26" s="255">
        <x:f>IF(OR(X26=AD26,AND(AD26=0,X26="X")),"OK","niet OK")</x:f>
      </x:c>
      <x:c r="AI26" s="255">
        <x:f>IF(OR(Y26=AD26,AND(AD26=0,Y26="X")),"OK","niet OK")</x:f>
      </x:c>
      <x:c r="AJ26" s="255">
        <x:f>IF(OR(Z26=AD26,AND(AD26=0,Z26="X")),"OK","niet OK")</x:f>
      </x:c>
      <x:c r="AK26" s="255">
        <x:f>IF(OR(AA26=AD26,AND(AD26=0,AA26="X")),"OK","niet OK")</x:f>
      </x:c>
      <x:c r="AL26" s="255">
        <x:f>IF(OR(AB26=AD26,AND(AD26=0,AB26="X")),"OK","niet OK")</x:f>
      </x:c>
      <x:c r="AM26" s="255">
        <x:f>IF(OR(AC26=AD26,AND(AD26=0,AC26="X")),"OK","niet OK")</x:f>
      </x:c>
    </x:row>
    <x:row r="27" spans="1:39" x14ac:dyDescent="0.25">
      <x:c r="B27" s="250"/>
      <x:c r="C27" s="0" t="s">
        <x:v>31</x:v>
      </x:c>
      <x:c r="F27" s="225">
        <x:v>5.4</x:v>
      </x:c>
      <x:c r="G27" s="226"/>
      <x:c r="H27" s="225">
        <x:f>F27*B27</x:f>
      </x:c>
      <x:c r="I27" s="226"/>
      <x:c r="J27" s="225">
        <x:f>F27*0.23*3*B27</x:f>
      </x:c>
      <x:c r="K27" s="226"/>
      <x:c r="M27" s="251"/>
      <x:c r="O27" s="27"/>
      <x:c r="P27" s="33"/>
      <x:c r="Q27" s="62"/>
      <x:c r="R27" s="34"/>
      <x:c r="S27" s="33"/>
      <x:c r="T27" s="62"/>
      <x:c r="U27" s="34"/>
      <x:c r="V27" s="95"/>
      <x:c r="W27" s="149"/>
      <x:c r="X27" s="98"/>
      <x:c r="Y27" s="98"/>
      <x:c r="Z27" s="98"/>
      <x:c r="AA27" s="98"/>
      <x:c r="AB27" s="98"/>
      <x:c r="AC27" s="98"/>
      <x:c r="AD27" s="254"/>
      <x:c r="AE27" s="35"/>
      <x:c r="AF27" s="19"/>
    </x:row>
    <x:row r="28" spans="1:39" x14ac:dyDescent="0.25">
      <x:c r="B28" s="249"/>
      <x:c r="C28" s="2"/>
      <x:c r="F28" s="4"/>
      <x:c r="G28" s="4"/>
      <x:c r="H28" s="4"/>
      <x:c r="I28" s="4"/>
      <x:c r="J28" s="4"/>
      <x:c r="K28" s="4"/>
      <x:c r="M28" s="251"/>
      <x:c r="O28" s="27" t="s">
        <x:v>118</x:v>
      </x:c>
      <x:c r="P28" s="33">
        <x:v>0.107</x:v>
      </x:c>
      <x:c r="Q28" s="62">
        <x:v>0.068</x:v>
      </x:c>
      <x:c r="R28" s="34">
        <x:f>SQRT(P28^2+Q28^2)</x:f>
      </x:c>
      <x:c r="S28" s="33">
        <x:f>+P28*AD28/1000</x:f>
      </x:c>
      <x:c r="T28" s="62">
        <x:f>+AD28*Q28/1000</x:f>
      </x:c>
      <x:c r="U28" s="34"/>
      <x:c r="V28" s="95">
        <x:v>393</x:v>
      </x:c>
      <x:c r="W28" s="148">
        <x:f>IF(W14&lt;=V28+3,+AD28,"X")</x:f>
      </x:c>
      <x:c r="X28" s="97">
        <x:f>IF(X14&lt;=V28+3,+AD28,"X")</x:f>
      </x:c>
      <x:c r="Y28" s="97">
        <x:f>IF(Y14&lt;=V28+3,+AD28,"X")</x:f>
      </x:c>
      <x:c r="Z28" s="97">
        <x:f>IF(Z14&lt;=V28+3,+AD28,"X")</x:f>
      </x:c>
      <x:c r="AA28" s="97">
        <x:f>IF(AA14&lt;=V28+3,+AD28,"X")</x:f>
      </x:c>
      <x:c r="AB28" s="97">
        <x:f>IF(AB14&lt;=V28+3,+AD28,"X")</x:f>
      </x:c>
      <x:c r="AC28" s="97">
        <x:f>IF(AC14&lt;=V28+3,+AD28,"X")</x:f>
      </x:c>
      <x:c r="AD28" s="254"/>
      <x:c r="AE28" s="35" t="s">
        <x:v>118</x:v>
      </x:c>
      <x:c r="AF28" s="19"/>
      <x:c r="AG28" s="255">
        <x:f>IF(OR(W28=AD28,AND(AD28=0,W28="X")),"OK","niet OK")</x:f>
      </x:c>
      <x:c r="AH28" s="255">
        <x:f>IF(OR(X28=AD28,AND(AD28=0,X28="X")),"OK","niet OK")</x:f>
      </x:c>
      <x:c r="AI28" s="255">
        <x:f>IF(OR(Y28=AD28,AND(AD28=0,Y28="X")),"OK","niet OK")</x:f>
      </x:c>
      <x:c r="AJ28" s="255">
        <x:f>IF(OR(Z28=AD28,AND(AD28=0,Z28="X")),"OK","niet OK")</x:f>
      </x:c>
      <x:c r="AK28" s="255">
        <x:f>IF(OR(AA28=AD28,AND(AD28=0,AA28="X")),"OK","niet OK")</x:f>
      </x:c>
      <x:c r="AL28" s="255">
        <x:f>IF(OR(AB28=AD28,AND(AD28=0,AB28="X")),"OK","niet OK")</x:f>
      </x:c>
      <x:c r="AM28" s="255">
        <x:f>IF(OR(AC28=AD28,AND(AD28=0,AC28="X")),"OK","niet OK")</x:f>
      </x:c>
    </x:row>
    <x:row r="29" spans="1:39" x14ac:dyDescent="0.25">
      <x:c r="B29" s="249"/>
      <x:c r="C29" s="2" t="s">
        <x:v>35</x:v>
      </x:c>
      <x:c r="F29" s="4"/>
      <x:c r="G29" s="4"/>
      <x:c r="H29" s="4"/>
      <x:c r="I29" s="4"/>
      <x:c r="J29" s="4"/>
      <x:c r="K29" s="4"/>
      <x:c r="M29" s="251"/>
      <x:c r="O29" s="27" t="s">
        <x:v>119</x:v>
      </x:c>
      <x:c r="P29" s="33">
        <x:v>0.125</x:v>
      </x:c>
      <x:c r="Q29" s="62">
        <x:v>0.068</x:v>
      </x:c>
      <x:c r="R29" s="34">
        <x:f>SQRT(P29^2+Q29^2)</x:f>
      </x:c>
      <x:c r="S29" s="33">
        <x:f>+P29*AD29/1000</x:f>
      </x:c>
      <x:c r="T29" s="62">
        <x:f>+AD29*Q29/1000</x:f>
      </x:c>
      <x:c r="U29" s="34"/>
      <x:c r="V29" s="95">
        <x:v>348</x:v>
      </x:c>
      <x:c r="W29" s="148">
        <x:f>IF(W14&lt;=V29+3,+AD29,"X")</x:f>
      </x:c>
      <x:c r="X29" s="97">
        <x:f>IF(X14&lt;=V29+3,+AD29,"X")</x:f>
      </x:c>
      <x:c r="Y29" s="97">
        <x:f>IF(Y14&lt;=V29+3,+AD29,"X")</x:f>
      </x:c>
      <x:c r="Z29" s="97">
        <x:f>IF(Z14&lt;=V29+3,+AD29,"X")</x:f>
      </x:c>
      <x:c r="AA29" s="97">
        <x:f>IF(AA14&lt;=V29+3,+AD29,"X")</x:f>
      </x:c>
      <x:c r="AB29" s="97">
        <x:f>IF(AB14&lt;=V29+3,+AD29,"X")</x:f>
      </x:c>
      <x:c r="AC29" s="97">
        <x:f>IF(AC14&lt;=V29+3,+AD29,"X")</x:f>
      </x:c>
      <x:c r="AD29" s="254"/>
      <x:c r="AE29" s="35" t="s">
        <x:v>119</x:v>
      </x:c>
      <x:c r="AF29" s="19"/>
      <x:c r="AG29" s="255">
        <x:f>IF(OR(W29=AD29,AND(AD29=0,W29="X")),"OK","niet OK")</x:f>
      </x:c>
      <x:c r="AH29" s="255">
        <x:f>IF(OR(X29=AD29,AND(AD29=0,X29="X")),"OK","niet OK")</x:f>
      </x:c>
      <x:c r="AI29" s="255">
        <x:f>IF(OR(Y29=AD29,AND(AD29=0,Y29="X")),"OK","niet OK")</x:f>
      </x:c>
      <x:c r="AJ29" s="255">
        <x:f>IF(OR(Z29=AD29,AND(AD29=0,Z29="X")),"OK","niet OK")</x:f>
      </x:c>
      <x:c r="AK29" s="255">
        <x:f>IF(OR(AA29=AD29,AND(AD29=0,AA29="X")),"OK","niet OK")</x:f>
      </x:c>
      <x:c r="AL29" s="255">
        <x:f>IF(OR(AB29=AD29,AND(AD29=0,AB29="X")),"OK","niet OK")</x:f>
      </x:c>
      <x:c r="AM29" s="255">
        <x:f>IF(OR(AC29=AD29,AND(AD29=0,AC29="X")),"OK","niet OK")</x:f>
      </x:c>
    </x:row>
    <x:row r="30" spans="1:39" x14ac:dyDescent="0.25">
      <x:c r="B30" s="250"/>
      <x:c r="C30" s="0" t="s">
        <x:v>31</x:v>
      </x:c>
      <x:c r="F30" s="225">
        <x:v>5.1</x:v>
      </x:c>
      <x:c r="G30" s="226"/>
      <x:c r="H30" s="225">
        <x:f>F30*B30</x:f>
      </x:c>
      <x:c r="I30" s="226"/>
      <x:c r="J30" s="225">
        <x:f>F30*0.23*3*B30</x:f>
      </x:c>
      <x:c r="K30" s="226"/>
      <x:c r="M30" s="251"/>
      <x:c r="O30" s="27" t="s">
        <x:v>120</x:v>
      </x:c>
      <x:c r="P30" s="33">
        <x:v>0.152</x:v>
      </x:c>
      <x:c r="Q30" s="62">
        <x:v>0.069</x:v>
      </x:c>
      <x:c r="R30" s="34">
        <x:v>0.16692812824686</x:v>
      </x:c>
      <x:c r="S30" s="33">
        <x:f>+P30*AD30/1000</x:f>
      </x:c>
      <x:c r="T30" s="62">
        <x:f>+AD30*Q30/1000</x:f>
      </x:c>
      <x:c r="U30" s="34"/>
      <x:c r="V30" s="95">
        <x:v>307</x:v>
      </x:c>
      <x:c r="W30" s="148">
        <x:f>IF(W14&lt;=V30+3,+AD30,"X")</x:f>
      </x:c>
      <x:c r="X30" s="97">
        <x:f>IF(X14&lt;=V30+3,+AD30,"X")</x:f>
      </x:c>
      <x:c r="Y30" s="97">
        <x:f>IF(Y14&lt;=V30+3,+AD30,"X")</x:f>
      </x:c>
      <x:c r="Z30" s="97">
        <x:f>IF(Z14&lt;=V30+3,+AD30,"X")</x:f>
      </x:c>
      <x:c r="AA30" s="97">
        <x:f>IF(AA14&lt;=V30+3,+AD30,"X")</x:f>
      </x:c>
      <x:c r="AB30" s="97">
        <x:f>IF(AB14&lt;=V30+3,+AD30,"X")</x:f>
      </x:c>
      <x:c r="AC30" s="97">
        <x:f>IF(AC14&lt;=V30+3,+AD30,"X")</x:f>
      </x:c>
      <x:c r="AD30" s="254"/>
      <x:c r="AE30" s="35" t="s">
        <x:v>120</x:v>
      </x:c>
      <x:c r="AF30" s="19"/>
      <x:c r="AG30" s="255">
        <x:f>IF(OR(W30=AD30,AND(AD30=0,W30="X")),"OK","niet OK")</x:f>
      </x:c>
      <x:c r="AH30" s="255">
        <x:f>IF(OR(X30=AD30,AND(AD30=0,X30="X")),"OK","niet OK")</x:f>
      </x:c>
      <x:c r="AI30" s="255">
        <x:f>IF(OR(Y30=AD30,AND(AD30=0,Y30="X")),"OK","niet OK")</x:f>
      </x:c>
      <x:c r="AJ30" s="255">
        <x:f>IF(OR(Z30=AD30,AND(AD30=0,Z30="X")),"OK","niet OK")</x:f>
      </x:c>
      <x:c r="AK30" s="255">
        <x:f>IF(OR(AA30=AD30,AND(AD30=0,AA30="X")),"OK","niet OK")</x:f>
      </x:c>
      <x:c r="AL30" s="255">
        <x:f>IF(OR(AB30=AD30,AND(AD30=0,AB30="X")),"OK","niet OK")</x:f>
      </x:c>
      <x:c r="AM30" s="255">
        <x:f>IF(OR(AC30=AD30,AND(AD30=0,AC30="X")),"OK","niet OK")</x:f>
      </x:c>
    </x:row>
    <x:row r="31" spans="1:39" x14ac:dyDescent="0.25">
      <x:c r="B31" s="249"/>
      <x:c r="C31" s="2"/>
      <x:c r="F31" s="4"/>
      <x:c r="G31" s="4"/>
      <x:c r="H31" s="4"/>
      <x:c r="I31" s="4"/>
      <x:c r="J31" s="4"/>
      <x:c r="K31" s="4"/>
      <x:c r="M31" s="251"/>
      <x:c r="O31" s="27" t="s">
        <x:v>121</x:v>
      </x:c>
      <x:c r="P31" s="33">
        <x:v>0.194</x:v>
      </x:c>
      <x:c r="Q31" s="62">
        <x:v>0.069</x:v>
      </x:c>
      <x:c r="R31" s="34">
        <x:f>SQRT(P31^2+Q31^2)</x:f>
      </x:c>
      <x:c r="S31" s="33">
        <x:f>+P31*AD31/1000</x:f>
      </x:c>
      <x:c r="T31" s="62">
        <x:f>+AD31*Q31/1000</x:f>
      </x:c>
      <x:c r="U31" s="34"/>
      <x:c r="V31" s="95">
        <x:v>272</x:v>
      </x:c>
      <x:c r="W31" s="148">
        <x:f>IF(W14&lt;=V31+3,+AD31,"X")</x:f>
      </x:c>
      <x:c r="X31" s="97">
        <x:f>IF(X14&lt;=V31+3,+AD31,"X")</x:f>
      </x:c>
      <x:c r="Y31" s="97">
        <x:f>IF(Y14&lt;=V31+3,+AD31,"X")</x:f>
      </x:c>
      <x:c r="Z31" s="97">
        <x:f>IF(Z14&lt;=V31+3,+AD31,"X")</x:f>
      </x:c>
      <x:c r="AA31" s="97">
        <x:f>IF(AA14&lt;=V31+3,+AD31,"X")</x:f>
      </x:c>
      <x:c r="AB31" s="97">
        <x:f>IF(AB14&lt;=V31+3,+AD31,"X")</x:f>
      </x:c>
      <x:c r="AC31" s="97">
        <x:f>IF(AC14&lt;=V31+3,+AD31,"X")</x:f>
      </x:c>
      <x:c r="AD31" s="254"/>
      <x:c r="AE31" s="35" t="s">
        <x:v>121</x:v>
      </x:c>
      <x:c r="AF31" s="19"/>
      <x:c r="AG31" s="255">
        <x:f>IF(OR(W31=AD31,AND(AD31=0,W31="X")),"OK","niet OK")</x:f>
      </x:c>
      <x:c r="AH31" s="255">
        <x:f>IF(OR(X31=AD31,AND(AD31=0,X31="X")),"OK","niet OK")</x:f>
      </x:c>
      <x:c r="AI31" s="255">
        <x:f>IF(OR(Y31=AD31,AND(AD31=0,Y31="X")),"OK","niet OK")</x:f>
      </x:c>
      <x:c r="AJ31" s="255">
        <x:f>IF(OR(Z31=AD31,AND(AD31=0,Z31="X")),"OK","niet OK")</x:f>
      </x:c>
      <x:c r="AK31" s="255">
        <x:f>IF(OR(AA31=AD31,AND(AD31=0,AA31="X")),"OK","niet OK")</x:f>
      </x:c>
      <x:c r="AL31" s="255">
        <x:f>IF(OR(AB31=AD31,AND(AD31=0,AB31="X")),"OK","niet OK")</x:f>
      </x:c>
      <x:c r="AM31" s="255">
        <x:f>IF(OR(AC31=AD31,AND(AD31=0,AC31="X")),"OK","niet OK")</x:f>
      </x:c>
    </x:row>
    <x:row r="32" spans="1:39" x14ac:dyDescent="0.25">
      <x:c r="B32" s="249"/>
      <x:c r="C32" s="2" t="s">
        <x:v>36</x:v>
      </x:c>
      <x:c r="F32" s="4"/>
      <x:c r="G32" s="4"/>
      <x:c r="H32" s="4"/>
      <x:c r="I32" s="4"/>
      <x:c r="J32" s="4"/>
      <x:c r="K32" s="4"/>
      <x:c r="M32" s="251"/>
      <x:c r="O32" s="27" t="s">
        <x:v>122</x:v>
      </x:c>
      <x:c r="P32" s="33">
        <x:v>0.268</x:v>
      </x:c>
      <x:c r="Q32" s="62">
        <x:v>0.072</x:v>
      </x:c>
      <x:c r="R32" s="34">
        <x:f>SQRT(P32^2+Q32^2)</x:f>
      </x:c>
      <x:c r="S32" s="33">
        <x:f>+P32*AD32/1000</x:f>
      </x:c>
      <x:c r="T32" s="62">
        <x:f>+AD32*Q32/1000</x:f>
      </x:c>
      <x:c r="U32" s="34"/>
      <x:c r="V32" s="95">
        <x:v>227</x:v>
      </x:c>
      <x:c r="W32" s="148">
        <x:f>IF(W14&lt;=V32+3,+AD32,"X")</x:f>
      </x:c>
      <x:c r="X32" s="97">
        <x:f>IF(X14&lt;=V32+3,+AD32,"X")</x:f>
      </x:c>
      <x:c r="Y32" s="97">
        <x:f>IF(Y14&lt;=V32+3,+AD32,"X")</x:f>
      </x:c>
      <x:c r="Z32" s="97">
        <x:f>IF(Z14&lt;=V32+3,+AD32,"X")</x:f>
      </x:c>
      <x:c r="AA32" s="97">
        <x:f>IF(AA14&lt;=V32+3,+AD32,"X")</x:f>
      </x:c>
      <x:c r="AB32" s="97">
        <x:f>IF(AB14&lt;=V32+3,+AD32,"X")</x:f>
      </x:c>
      <x:c r="AC32" s="97">
        <x:f>IF(AC14&lt;=V32+3,+AD32,"X")</x:f>
      </x:c>
      <x:c r="AD32" s="254"/>
      <x:c r="AE32" s="35" t="s">
        <x:v>122</x:v>
      </x:c>
      <x:c r="AF32" s="19"/>
      <x:c r="AG32" s="255">
        <x:f>IF(OR(W32=AD32,AND(AD32=0,W32="X")),"OK","niet OK")</x:f>
      </x:c>
      <x:c r="AH32" s="255">
        <x:f>IF(OR(X32=AD32,AND(AD32=0,X32="X")),"OK","niet OK")</x:f>
      </x:c>
      <x:c r="AI32" s="255">
        <x:f>IF(OR(Y32=AD32,AND(AD32=0,Y32="X")),"OK","niet OK")</x:f>
      </x:c>
      <x:c r="AJ32" s="255">
        <x:f>IF(OR(Z32=AD32,AND(AD32=0,Z32="X")),"OK","niet OK")</x:f>
      </x:c>
      <x:c r="AK32" s="255">
        <x:f>IF(OR(AA32=AD32,AND(AD32=0,AA32="X")),"OK","niet OK")</x:f>
      </x:c>
      <x:c r="AL32" s="255">
        <x:f>IF(OR(AB32=AD32,AND(AD32=0,AB32="X")),"OK","niet OK")</x:f>
      </x:c>
      <x:c r="AM32" s="255">
        <x:f>IF(OR(AC32=AD32,AND(AD32=0,AC32="X")),"OK","niet OK")</x:f>
      </x:c>
    </x:row>
    <x:row r="33" spans="1:39" x14ac:dyDescent="0.25">
      <x:c r="B33" s="249"/>
      <x:c r="C33" s="0" t="s">
        <x:v>37</x:v>
      </x:c>
      <x:c r="F33" s="226"/>
      <x:c r="G33" s="226"/>
      <x:c r="H33" s="225">
        <x:f>J33*1000/(3*230)</x:f>
      </x:c>
      <x:c r="I33" s="226"/>
      <x:c r="J33" s="257"/>
      <x:c r="K33" s="226"/>
      <x:c r="M33" s="251"/>
      <x:c r="O33" s="27" t="s">
        <x:v>123</x:v>
      </x:c>
      <x:c r="P33" s="33">
        <x:v>0.387</x:v>
      </x:c>
      <x:c r="Q33" s="62">
        <x:v>0.085</x:v>
      </x:c>
      <x:c r="R33" s="34">
        <x:f>SQRT(P33^2+Q33^2)</x:f>
      </x:c>
      <x:c r="S33" s="33">
        <x:f>+P33*AD33/1000</x:f>
      </x:c>
      <x:c r="T33" s="62">
        <x:f>+AD33*Q33/1000</x:f>
      </x:c>
      <x:c r="U33" s="34"/>
      <x:c r="V33" s="95">
        <x:v>182</x:v>
      </x:c>
      <x:c r="W33" s="148">
        <x:f>IF(W14&lt;=V33+3,+AD33,"X")</x:f>
      </x:c>
      <x:c r="X33" s="97">
        <x:f>IF(X14&lt;=V33+3,+AD33,"X")</x:f>
      </x:c>
      <x:c r="Y33" s="97">
        <x:f>IF(Y14&lt;=V33+3,+AD33,"X")</x:f>
      </x:c>
      <x:c r="Z33" s="97">
        <x:f>IF(Z14&lt;=V33+3,+AD33,"X")</x:f>
      </x:c>
      <x:c r="AA33" s="97">
        <x:f>IF(AA14&lt;=V33+3,+AD33,"X")</x:f>
      </x:c>
      <x:c r="AB33" s="97">
        <x:f>IF(AB14&lt;=V33+3,+AD33,"X")</x:f>
      </x:c>
      <x:c r="AC33" s="97">
        <x:f>IF(AC14&lt;=V33+3,+AD33,"X")</x:f>
      </x:c>
      <x:c r="AD33" s="254"/>
      <x:c r="AE33" s="35" t="s">
        <x:v>123</x:v>
      </x:c>
      <x:c r="AF33" s="19"/>
      <x:c r="AG33" s="255">
        <x:f>IF(OR(W33=AD33,AND(AD33=0,W33="X")),"OK","niet OK")</x:f>
      </x:c>
      <x:c r="AH33" s="255">
        <x:f>IF(OR(X33=AD33,AND(AD33=0,X33="X")),"OK","niet OK")</x:f>
      </x:c>
      <x:c r="AI33" s="255">
        <x:f>IF(OR(Y33=AD33,AND(AD33=0,Y33="X")),"OK","niet OK")</x:f>
      </x:c>
      <x:c r="AJ33" s="255">
        <x:f>IF(OR(Z33=AD33,AND(AD33=0,Z33="X")),"OK","niet OK")</x:f>
      </x:c>
      <x:c r="AK33" s="255">
        <x:f>IF(OR(AA33=AD33,AND(AD33=0,AA33="X")),"OK","niet OK")</x:f>
      </x:c>
      <x:c r="AL33" s="255">
        <x:f>IF(OR(AB33=AD33,AND(AD33=0,AB33="X")),"OK","niet OK")</x:f>
      </x:c>
      <x:c r="AM33" s="255">
        <x:f>IF(OR(AC33=AD33,AND(AD33=0,AC33="X")),"OK","niet OK")</x:f>
      </x:c>
    </x:row>
    <x:row r="34" spans="1:39" x14ac:dyDescent="0.25">
      <x:c r="B34" s="249"/>
      <x:c r="F34" s="4"/>
      <x:c r="G34" s="4"/>
      <x:c r="H34" s="4"/>
      <x:c r="I34" s="4"/>
      <x:c r="J34" s="4"/>
      <x:c r="K34" s="4"/>
      <x:c r="M34" s="251"/>
      <x:c r="O34" s="27" t="s">
        <x:v>124</x:v>
      </x:c>
      <x:c r="P34" s="33">
        <x:v>0.524</x:v>
      </x:c>
      <x:c r="Q34" s="62">
        <x:v>0.1</x:v>
      </x:c>
      <x:c r="R34" s="34">
        <x:f>SQRT(P34^2+Q34^2)</x:f>
      </x:c>
      <x:c r="S34" s="33">
        <x:f>+P34*AD34/1000</x:f>
      </x:c>
      <x:c r="T34" s="62">
        <x:f>+AD34*Q34/1000</x:f>
      </x:c>
      <x:c r="U34" s="34"/>
      <x:c r="V34" s="95">
        <x:v>154</x:v>
      </x:c>
      <x:c r="W34" s="148">
        <x:f>IF(W14&lt;=V34+3,+AD34,"X")</x:f>
      </x:c>
      <x:c r="X34" s="97">
        <x:f>IF(X14&lt;=V34+3,+AD34,"X")</x:f>
      </x:c>
      <x:c r="Y34" s="97">
        <x:f>IF(Y14&lt;=V34+3,+AD34,"X")</x:f>
      </x:c>
      <x:c r="Z34" s="97">
        <x:f>IF(Z14&lt;=V34+3,+AD34,"X")</x:f>
      </x:c>
      <x:c r="AA34" s="97">
        <x:f>IF(AA14&lt;=V34+3,+AD34,"X")</x:f>
      </x:c>
      <x:c r="AB34" s="97">
        <x:f>IF(AB14&lt;=V34+3,+AD34,"X")</x:f>
      </x:c>
      <x:c r="AC34" s="97">
        <x:f>IF(AC14&lt;=V34+3,+AD34,"X")</x:f>
      </x:c>
      <x:c r="AD34" s="254"/>
      <x:c r="AE34" s="35" t="s">
        <x:v>124</x:v>
      </x:c>
      <x:c r="AF34" s="19"/>
      <x:c r="AG34" s="255">
        <x:f>IF(OR(W34=AD34,AND(AD34=0,W34="X")),"OK","niet OK")</x:f>
      </x:c>
      <x:c r="AH34" s="255">
        <x:f>IF(OR(X34=AD34,AND(AD34=0,X34="X")),"OK","niet OK")</x:f>
      </x:c>
      <x:c r="AI34" s="255">
        <x:f>IF(OR(Y34=AD34,AND(AD34=0,Y34="X")),"OK","niet OK")</x:f>
      </x:c>
      <x:c r="AJ34" s="255">
        <x:f>IF(OR(Z34=AD34,AND(AD34=0,Z34="X")),"OK","niet OK")</x:f>
      </x:c>
      <x:c r="AK34" s="255">
        <x:f>IF(OR(AA34=AD34,AND(AD34=0,AA34="X")),"OK","niet OK")</x:f>
      </x:c>
      <x:c r="AL34" s="255">
        <x:f>IF(OR(AB34=AD34,AND(AD34=0,AB34="X")),"OK","niet OK")</x:f>
      </x:c>
      <x:c r="AM34" s="255">
        <x:f>IF(OR(AC34=AD34,AND(AD34=0,AC34="X")),"OK","niet OK")</x:f>
      </x:c>
    </x:row>
    <x:row r="35" spans="1:39" x14ac:dyDescent="0.25">
      <x:c r="B35" s="249"/>
      <x:c r="C35" s="2" t="s">
        <x:v>38</x:v>
      </x:c>
      <x:c r="F35" s="4"/>
      <x:c r="G35" s="4"/>
      <x:c r="H35" s="4"/>
      <x:c r="I35" s="4"/>
      <x:c r="J35" s="4"/>
      <x:c r="K35" s="4"/>
      <x:c r="M35" s="251"/>
      <x:c r="O35" s="27" t="s">
        <x:v>125</x:v>
      </x:c>
      <x:c r="P35" s="33">
        <x:v>0.727</x:v>
      </x:c>
      <x:c r="Q35" s="62">
        <x:v>0.094</x:v>
      </x:c>
      <x:c r="R35" s="34">
        <x:f>SQRT(P35^2+Q35^2)</x:f>
      </x:c>
      <x:c r="S35" s="33">
        <x:f>+P35*AD35/1000</x:f>
      </x:c>
      <x:c r="T35" s="62">
        <x:f>+AD35*Q35/1000</x:f>
      </x:c>
      <x:c r="U35" s="34"/>
      <x:c r="V35" s="95">
        <x:v>128</x:v>
      </x:c>
      <x:c r="W35" s="148">
        <x:f>IF(W14&lt;=V35+3,+AD35,"X")</x:f>
      </x:c>
      <x:c r="X35" s="97">
        <x:f>IF(X14&lt;=V35+3,+AD35,"X")</x:f>
      </x:c>
      <x:c r="Y35" s="97">
        <x:f>IF(Y14&lt;=V35+3,+AD35,"X")</x:f>
      </x:c>
      <x:c r="Z35" s="97">
        <x:f>IF(Z14&lt;=V35+3,+AD35,"X")</x:f>
      </x:c>
      <x:c r="AA35" s="97">
        <x:f>IF(AA14&lt;=V35+3,+AD35,"X")</x:f>
      </x:c>
      <x:c r="AB35" s="97">
        <x:f>IF(AB14&lt;=V35+3,+AD35,"X")</x:f>
      </x:c>
      <x:c r="AC35" s="97">
        <x:f>IF(AC14&lt;=V35+3,+AD35,"X")</x:f>
      </x:c>
      <x:c r="AD35" s="254"/>
      <x:c r="AE35" s="35" t="s">
        <x:v>125</x:v>
      </x:c>
      <x:c r="AF35" s="19"/>
      <x:c r="AG35" s="255">
        <x:f>IF(OR(W35=AD35,AND(AD35=0,W35="X")),"OK","niet OK")</x:f>
      </x:c>
      <x:c r="AH35" s="255">
        <x:f>IF(OR(X35=AD35,AND(AD35=0,X35="X")),"OK","niet OK")</x:f>
      </x:c>
      <x:c r="AI35" s="255">
        <x:f>IF(OR(Y35=AD35,AND(AD35=0,Y35="X")),"OK","niet OK")</x:f>
      </x:c>
      <x:c r="AJ35" s="255">
        <x:f>IF(OR(Z35=AD35,AND(AD35=0,Z35="X")),"OK","niet OK")</x:f>
      </x:c>
      <x:c r="AK35" s="255">
        <x:f>IF(OR(AA35=AD35,AND(AD35=0,AA35="X")),"OK","niet OK")</x:f>
      </x:c>
      <x:c r="AL35" s="255">
        <x:f>IF(OR(AB35=AD35,AND(AD35=0,AB35="X")),"OK","niet OK")</x:f>
      </x:c>
      <x:c r="AM35" s="255">
        <x:f>IF(OR(AC35=AD35,AND(AD35=0,AC35="X")),"OK","niet OK")</x:f>
      </x:c>
    </x:row>
    <x:row r="36" spans="1:39" ht="15.75" customHeight="1" x14ac:dyDescent="0.3">
      <x:c r="B36" s="250"/>
      <x:c r="C36" s="0" t="s">
        <x:v>39</x:v>
      </x:c>
      <x:c r="D36" s="227" t="s">
        <x:v>40</x:v>
      </x:c>
      <x:c r="F36" s="225">
        <x:v>8.7</x:v>
      </x:c>
      <x:c r="G36" s="225">
        <x:v>8.7</x:v>
      </x:c>
      <x:c r="H36" s="225">
        <x:f>F36*B36</x:f>
      </x:c>
      <x:c r="I36" s="225">
        <x:f>G36*B36</x:f>
      </x:c>
      <x:c r="J36" s="225">
        <x:f>F36*0.23*3*B36</x:f>
      </x:c>
      <x:c r="K36" s="225">
        <x:f>G36*0.23*3*B36</x:f>
      </x:c>
      <x:c r="M36" s="251"/>
      <x:c r="O36" s="36" t="s">
        <x:v>126</x:v>
      </x:c>
      <x:c r="P36" s="37">
        <x:v>1.15</x:v>
      </x:c>
      <x:c r="Q36" s="38">
        <x:v>0.097</x:v>
      </x:c>
      <x:c r="R36" s="39">
        <x:f>SQRT(P36^2+Q36^2)</x:f>
      </x:c>
      <x:c r="S36" s="37">
        <x:f>+P36*AD36/1000</x:f>
      </x:c>
      <x:c r="T36" s="38">
        <x:f>+AD36*Q36/1000</x:f>
      </x:c>
      <x:c r="U36" s="39"/>
      <x:c r="V36" s="99">
        <x:v>99</x:v>
      </x:c>
      <x:c r="W36" s="150">
        <x:f>IF(W14&lt;=V36+3,+AD36,"X")</x:f>
      </x:c>
      <x:c r="X36" s="100">
        <x:f>IF(X14&lt;=V36+3,+AD36,"X")</x:f>
      </x:c>
      <x:c r="Y36" s="100">
        <x:f>IF(Y14&lt;=V36+3,+AD36,"X")</x:f>
      </x:c>
      <x:c r="Z36" s="100">
        <x:f>IF(Z14&lt;=V36+3,+AD36,"X")</x:f>
      </x:c>
      <x:c r="AA36" s="100">
        <x:f>IF(AA14&lt;=V36+3,+AD36,"X")</x:f>
      </x:c>
      <x:c r="AB36" s="100">
        <x:f>IF(AB14&lt;=V36+3,+AD36,"X")</x:f>
      </x:c>
      <x:c r="AC36" s="100">
        <x:f>IF(AC14&lt;=V36+3,+AD36,"X")</x:f>
      </x:c>
      <x:c r="AD36" s="254"/>
      <x:c r="AE36" s="35" t="s">
        <x:v>126</x:v>
      </x:c>
      <x:c r="AF36" s="19"/>
      <x:c r="AG36" s="255">
        <x:f>IF(OR(W36=AD36,AND(AD36=0,W36="X")),"OK","niet OK")</x:f>
      </x:c>
      <x:c r="AH36" s="255">
        <x:f>IF(OR(X36=AD36,AND(AD36=0,X36="X")),"OK","niet OK")</x:f>
      </x:c>
      <x:c r="AI36" s="255">
        <x:f>IF(OR(Y36=AD36,AND(AD36=0,Y36="X")),"OK","niet OK")</x:f>
      </x:c>
      <x:c r="AJ36" s="255">
        <x:f>IF(OR(Z36=AD36,AND(AD36=0,Z36="X")),"OK","niet OK")</x:f>
      </x:c>
      <x:c r="AK36" s="255">
        <x:f>IF(OR(AA36=AD36,AND(AD36=0,AA36="X")),"OK","niet OK")</x:f>
      </x:c>
      <x:c r="AL36" s="255">
        <x:f>IF(OR(AB36=AD36,AND(AD36=0,AB36="X")),"OK","niet OK")</x:f>
      </x:c>
      <x:c r="AM36" s="255">
        <x:f>IF(OR(AC36=AD36,AND(AD36=0,AC36="X")),"OK","niet OK")</x:f>
      </x:c>
    </x:row>
    <x:row r="37" spans="1:39" x14ac:dyDescent="0.25">
      <x:c r="B37" s="250"/>
      <x:c r="C37" s="0" t="s">
        <x:v>39</x:v>
      </x:c>
      <x:c r="D37" s="228" t="s">
        <x:v>41</x:v>
      </x:c>
      <x:c r="F37" s="225">
        <x:v>44</x:v>
      </x:c>
      <x:c r="G37" s="225">
        <x:v>44</x:v>
      </x:c>
      <x:c r="H37" s="225">
        <x:f>F37*B37</x:f>
      </x:c>
      <x:c r="I37" s="225">
        <x:f>G37*B37</x:f>
      </x:c>
      <x:c r="J37" s="225">
        <x:f>F37*0.23*3*B37</x:f>
      </x:c>
      <x:c r="K37" s="225">
        <x:f>G37*0.23*3*B37</x:f>
      </x:c>
      <x:c r="M37" s="251"/>
      <x:c r="O37" s="41"/>
      <x:c r="W37" s="139"/>
      <x:c r="X37" s="140"/>
      <x:c r="Y37" s="140"/>
      <x:c r="Z37" s="140"/>
      <x:c r="AA37" s="140"/>
      <x:c r="AB37" s="140"/>
      <x:c r="AC37" s="141"/>
      <x:c r="AD37" s="125"/>
      <x:c r="AE37" s="142"/>
    </x:row>
    <x:row r="38" spans="1:39" x14ac:dyDescent="0.25">
      <x:c r="B38" s="250"/>
      <x:c r="C38" s="0" t="s">
        <x:v>39</x:v>
      </x:c>
      <x:c r="D38" s="229" t="s">
        <x:v>42</x:v>
      </x:c>
      <x:c r="F38" s="225">
        <x:v>65</x:v>
      </x:c>
      <x:c r="G38" s="225">
        <x:v>65</x:v>
      </x:c>
      <x:c r="H38" s="225">
        <x:f>F38*B38</x:f>
      </x:c>
      <x:c r="I38" s="225">
        <x:f>G38*B38</x:f>
      </x:c>
      <x:c r="J38" s="225">
        <x:f>F38*0.23*3*B38</x:f>
      </x:c>
      <x:c r="K38" s="225">
        <x:f>G38*0.23*3*B38</x:f>
      </x:c>
      <x:c r="M38" s="251"/>
      <x:c r="O38" s="258" t="s">
        <x:v>127</x:v>
      </x:c>
      <x:c r="P38" s="259"/>
      <x:c r="Q38" s="259"/>
      <x:c r="R38" s="259"/>
      <x:c r="S38" s="260">
        <x:f>SUM(S18:S37)</x:f>
      </x:c>
      <x:c r="T38" s="260">
        <x:f>SUM(T18:T37)</x:f>
      </x:c>
      <x:c r="U38" s="260">
        <x:f>SQRT(S38^2+T38^2)</x:f>
      </x:c>
      <x:c r="W38" s="116">
        <x:f>IF(U38&lt;=W16,"OK","niet OK")</x:f>
      </x:c>
      <x:c r="X38" s="117">
        <x:f>IF(U38&lt;=X16,"OK","niet OK")</x:f>
      </x:c>
      <x:c r="Y38" s="117">
        <x:f>IF(U38&lt;=Y16,"OK","niet OK")</x:f>
      </x:c>
      <x:c r="Z38" s="117">
        <x:f>IF(U38&lt;=Z16,"OK","niet OK")</x:f>
      </x:c>
      <x:c r="AA38" s="117">
        <x:f>IF(U38&lt;=AA16,"OK","niet OK")</x:f>
      </x:c>
      <x:c r="AB38" s="117">
        <x:f>IF(U38&lt;=AB16,"OK","niet OK")</x:f>
      </x:c>
      <x:c r="AC38" s="112">
        <x:f>IF(U38&lt;=AC16,"OK","niet OK")</x:f>
      </x:c>
      <x:c r="AD38" s="261" t="s">
        <x:v>128</x:v>
      </x:c>
      <x:c r="AE38" s="262"/>
    </x:row>
    <x:row r="39" spans="1:39" x14ac:dyDescent="0.25">
      <x:c r="B39" s="250"/>
      <x:c r="C39" s="0" t="s">
        <x:v>43</x:v>
      </x:c>
      <x:c r="D39" s="227" t="s">
        <x:v>40</x:v>
      </x:c>
      <x:c r="F39" s="225">
        <x:v>32</x:v>
      </x:c>
      <x:c r="G39" s="225">
        <x:v>32</x:v>
      </x:c>
      <x:c r="H39" s="225">
        <x:f>F39*B39</x:f>
      </x:c>
      <x:c r="I39" s="225">
        <x:f>G39*B39</x:f>
      </x:c>
      <x:c r="J39" s="225">
        <x:f>F39*0.23*3*B39</x:f>
      </x:c>
      <x:c r="K39" s="225">
        <x:f>G39*0.23*3*B39</x:f>
      </x:c>
      <x:c r="M39" s="251"/>
      <x:c r="O39" s="41"/>
      <x:c r="W39" s="116">
        <x:f>IF(U38&lt;=W17,"OK","niet OK")</x:f>
      </x:c>
      <x:c r="X39" s="117">
        <x:f>IF(U38&lt;=X17,"OK","niet OK")</x:f>
      </x:c>
      <x:c r="Y39" s="117">
        <x:f>IF(U38&lt;=Y17,"OK","niet OK")</x:f>
      </x:c>
      <x:c r="Z39" s="117">
        <x:f>IF(U38&lt;=Z17,"OK","niet OK")</x:f>
      </x:c>
      <x:c r="AA39" s="117">
        <x:f>IF(U38&lt;=AA17,"OK","niet OK")</x:f>
      </x:c>
      <x:c r="AB39" s="117">
        <x:f>IF(U38&lt;=AB17,"OK","niet OK")</x:f>
      </x:c>
      <x:c r="AC39" s="112">
        <x:f>IF(U38&lt;=AC17,"OK","niet OK")</x:f>
      </x:c>
      <x:c r="AD39" s="261" t="s">
        <x:v>129</x:v>
      </x:c>
      <x:c r="AE39" s="262"/>
    </x:row>
    <x:row r="40" spans="1:39" x14ac:dyDescent="0.25">
      <x:c r="B40" s="250"/>
      <x:c r="C40" s="0" t="s">
        <x:v>43</x:v>
      </x:c>
      <x:c r="D40" s="228" t="s">
        <x:v>41</x:v>
      </x:c>
      <x:c r="F40" s="225">
        <x:v>65</x:v>
      </x:c>
      <x:c r="G40" s="225">
        <x:v>65</x:v>
      </x:c>
      <x:c r="H40" s="225">
        <x:f>F40*B40</x:f>
      </x:c>
      <x:c r="I40" s="225">
        <x:f>G40*B40</x:f>
      </x:c>
      <x:c r="J40" s="225">
        <x:f>F40*0.23*3*B40</x:f>
      </x:c>
      <x:c r="K40" s="225">
        <x:f>G40*0.23*3*B40</x:f>
      </x:c>
      <x:c r="M40" s="251"/>
      <x:c r="O40" s="41"/>
      <x:c r="P40" s="68"/>
      <x:c r="Q40" s="68"/>
      <x:c r="R40" s="62"/>
      <x:c r="S40" s="62"/>
      <x:c r="T40" s="62"/>
      <x:c r="U40" s="62"/>
      <x:c r="W40" s="116">
        <x:f>IF(AND(AG18="OK",AG19="OK",AG20="OK",AG21="OK",AG22="OK",AG23="OK",AG24="OK",AG25="OK",AG26="OK",AG28="OK",AG29="OK",AG31="OK",AG32="OK",AG33="OK",AG34="OK",AG35="OK",AG36="OK"),"OK","niet OK")</x:f>
      </x:c>
      <x:c r="X40" s="117">
        <x:f>IF(AND(AH18="OK",AH19="OK",AH20="OK",AH21="OK",AH22="OK",AH23="OK",AH24="OK",AH25="OK",AH26="OK",AH28="OK",AH29="OK",AH31="OK",AH32="OK",AH33="OK",AH34="OK",AH35="OK",AH36="OK"),"OK","niet OK")</x:f>
      </x:c>
      <x:c r="Y40" s="117">
        <x:f>IF(AND(AI18="OK",AI19="OK",AI20="OK",AI21="OK",AI22="OK",AI23="OK",AI24="OK",AI25="OK",AI26="OK",AI28="OK",AI29="OK",AI31="OK",AI32="OK",AI33="OK",AI34="OK",AI35="OK",AI36="OK"),"OK","niet OK")</x:f>
      </x:c>
      <x:c r="Z40" s="117">
        <x:f>IF(AND(AJ18="OK",AJ19="OK",AJ20="OK",AJ21="OK",AJ22="OK",AJ23="OK",AJ24="OK",AJ25="OK",AJ26="OK",AJ28="OK",AJ29="OK",AJ31="OK",AJ32="OK",AJ33="OK",AJ34="OK",AJ35="OK",AJ36="OK"),"OK","niet OK")</x:f>
      </x:c>
      <x:c r="AA40" s="117">
        <x:f>IF(AND(AK18="OK",AK19="OK",AK20="OK",AK21="OK",AK22="OK",AK23="OK",AK24="OK",AK25="OK",AK26="OK",AK28="OK",AK29="OK",AK31="OK",AK32="OK",AK33="OK",AK34="OK",AK35="OK",AK36="OK"),"OK","niet OK")</x:f>
      </x:c>
      <x:c r="AB40" s="117">
        <x:f>IF(AND(AL18="OK",AL19="OK",AL20="OK",AL21="OK",AL22="OK",AL23="OK",AL24="OK",AL25="OK",AL26="OK",AL28="OK",AL29="OK",AL31="OK",AL32="OK",AL33="OK",AL34="OK",AL35="OK",AL36="OK"),"OK","niet OK")</x:f>
      </x:c>
      <x:c r="AC40" s="112">
        <x:f>IF(AND(AM18="OK",AM19="OK",AM20="OK",AM21="OK",AM22="OK",AM23="OK",AM24="OK",AM25="OK",AM26="OK",AM28="OK",AM29="OK",AM31="OK",AM32="OK",AM33="OK",AM34="OK",AM35="OK",AM36="OK"),"OK","niet OK")</x:f>
      </x:c>
      <x:c r="AD40" s="263" t="s">
        <x:v>130</x:v>
      </x:c>
      <x:c r="AE40" s="264"/>
    </x:row>
    <x:row r="41" spans="1:39" ht="18.75" customHeight="1" x14ac:dyDescent="0.3">
      <x:c r="B41" s="250"/>
      <x:c r="C41" s="0" t="s">
        <x:v>43</x:v>
      </x:c>
      <x:c r="D41" s="229" t="s">
        <x:v>42</x:v>
      </x:c>
      <x:c r="F41" s="225">
        <x:v>65</x:v>
      </x:c>
      <x:c r="G41" s="225">
        <x:v>65</x:v>
      </x:c>
      <x:c r="H41" s="225">
        <x:f>F41*B41</x:f>
      </x:c>
      <x:c r="I41" s="225">
        <x:f>G41*B41</x:f>
      </x:c>
      <x:c r="J41" s="225">
        <x:f>F41*0.23*3*B41</x:f>
      </x:c>
      <x:c r="K41" s="225">
        <x:f>G41*0.23*3*B41</x:f>
      </x:c>
      <x:c r="M41" s="251"/>
      <x:c r="O41" s="41"/>
      <x:c r="P41" s="68"/>
      <x:c r="Q41" s="68"/>
      <x:c r="R41" s="62"/>
      <x:c r="S41" s="62"/>
      <x:c r="T41" s="62"/>
      <x:c r="U41" s="62"/>
      <x:c r="W41" s="118">
        <x:f>IF(AND(W38="OK",W40="OK"),"JA","NEE")</x:f>
      </x:c>
      <x:c r="X41" s="119">
        <x:f>IF(AND(X38="OK",X40="OK"),"JA","NEE")</x:f>
      </x:c>
      <x:c r="Y41" s="119">
        <x:f>IF(AND(Y38="OK",Y40="OK"),"JA","NEE")</x:f>
      </x:c>
      <x:c r="Z41" s="119">
        <x:f>IF(AND(Z38="OK",Z40="OK"),"JA","NEE")</x:f>
      </x:c>
      <x:c r="AA41" s="119">
        <x:f>IF(AND(AA38="OK",AA40="OK"),"JA","NEE")</x:f>
      </x:c>
      <x:c r="AB41" s="119">
        <x:f>IF(AND(AB38="OK",AB40="OK"),"JA","NEE")</x:f>
      </x:c>
      <x:c r="AC41" s="138">
        <x:f>IF(AND(AC38="OK",AC40="OK"),"JA","NEE")</x:f>
      </x:c>
      <x:c r="AD41" s="265" t="s">
        <x:v>132</x:v>
      </x:c>
      <x:c r="AE41" s="266"/>
    </x:row>
    <x:row r="42" spans="1:39" ht="19.5" customHeight="1" x14ac:dyDescent="0.35">
      <x:c r="B42" s="250"/>
      <x:c r="C42" s="0" t="s">
        <x:v>44</x:v>
      </x:c>
      <x:c r="D42" s="227" t="s">
        <x:v>40</x:v>
      </x:c>
      <x:c r="F42" s="225">
        <x:v>44</x:v>
      </x:c>
      <x:c r="G42" s="225">
        <x:v>44</x:v>
      </x:c>
      <x:c r="H42" s="225">
        <x:f>F42*B42</x:f>
      </x:c>
      <x:c r="I42" s="225">
        <x:f>G42*B42</x:f>
      </x:c>
      <x:c r="J42" s="225">
        <x:f>F42*0.23*3*B42</x:f>
      </x:c>
      <x:c r="K42" s="225">
        <x:f>G42*0.23*3*B42</x:f>
      </x:c>
      <x:c r="M42" s="251"/>
      <x:c r="O42" s="45"/>
      <x:c r="P42" s="46"/>
      <x:c r="Q42" s="46"/>
      <x:c r="R42" s="46"/>
      <x:c r="S42" s="46"/>
      <x:c r="T42" s="46"/>
      <x:c r="U42" s="46"/>
      <x:c r="V42" s="46"/>
      <x:c r="W42" s="120">
        <x:f>IF(AND(W39="OK",W40="OK"),"JA","NEE")</x:f>
      </x:c>
      <x:c r="X42" s="113">
        <x:f>IF(AND(X39="OK",X40="OK"),"JA","NEE")</x:f>
      </x:c>
      <x:c r="Y42" s="113">
        <x:f>IF(AND(Y39="OK",Y40="OK"),"JA","NEE")</x:f>
      </x:c>
      <x:c r="Z42" s="113">
        <x:f>IF(AND(Z39="OK",Z40="OK"),"JA","NEE")</x:f>
      </x:c>
      <x:c r="AA42" s="113">
        <x:f>IF(AND(AA39="OK",AA40="OK"),"JA","NEE")</x:f>
      </x:c>
      <x:c r="AB42" s="113">
        <x:f>IF(AND(AB39="OK",AB40="OK"),"JA","NEE")</x:f>
      </x:c>
      <x:c r="AC42" s="143">
        <x:f>IF(AND(AC39="OK",AC40="OK"),"JA","NEE")</x:f>
      </x:c>
      <x:c r="AD42" s="267" t="s">
        <x:v>133</x:v>
      </x:c>
      <x:c r="AE42" s="268"/>
    </x:row>
    <x:row r="43" spans="1:39" x14ac:dyDescent="0.25">
      <x:c r="B43" s="250"/>
      <x:c r="C43" s="0" t="s">
        <x:v>44</x:v>
      </x:c>
      <x:c r="D43" s="228" t="s">
        <x:v>41</x:v>
      </x:c>
      <x:c r="F43" s="225">
        <x:v>65</x:v>
      </x:c>
      <x:c r="G43" s="225">
        <x:v>65</x:v>
      </x:c>
      <x:c r="H43" s="225">
        <x:f>F43*B43</x:f>
      </x:c>
      <x:c r="I43" s="225">
        <x:f>G43*B43</x:f>
      </x:c>
      <x:c r="J43" s="225">
        <x:f>F43*0.23*3*B43</x:f>
      </x:c>
      <x:c r="K43" s="225">
        <x:f>G43*0.23*3*B43</x:f>
      </x:c>
      <x:c r="M43" s="251"/>
      <x:c r="W43" s="48"/>
      <x:c r="X43" s="48"/>
      <x:c r="Y43" s="48"/>
      <x:c r="Z43" s="48"/>
      <x:c r="AA43" s="48"/>
      <x:c r="AB43" s="48"/>
      <x:c r="AC43" s="48"/>
      <x:c r="AD43" s="48"/>
      <x:c r="AE43" s="48"/>
    </x:row>
    <x:row r="44" spans="1:39" ht="15.75" customHeight="1" x14ac:dyDescent="0.3">
      <x:c r="B44" s="250"/>
      <x:c r="C44" s="0" t="s">
        <x:v>44</x:v>
      </x:c>
      <x:c r="D44" s="229" t="s">
        <x:v>42</x:v>
      </x:c>
      <x:c r="F44" s="225">
        <x:v>65</x:v>
      </x:c>
      <x:c r="G44" s="225">
        <x:v>65</x:v>
      </x:c>
      <x:c r="H44" s="225">
        <x:f>F44*B44</x:f>
      </x:c>
      <x:c r="I44" s="225">
        <x:f>G44*B44</x:f>
      </x:c>
      <x:c r="J44" s="225">
        <x:f>F44*0.23*3*B44</x:f>
      </x:c>
      <x:c r="K44" s="225">
        <x:f>G44*0.23*3*B44</x:f>
      </x:c>
      <x:c r="M44" s="269"/>
      <x:c r="W44" s="48"/>
      <x:c r="X44" s="48"/>
      <x:c r="Y44" s="48"/>
      <x:c r="Z44" s="48"/>
      <x:c r="AA44" s="48"/>
      <x:c r="AB44" s="48"/>
      <x:c r="AC44" s="48"/>
      <x:c r="AD44" s="48"/>
      <x:c r="AE44" s="48"/>
    </x:row>
    <x:row r="45" spans="1:39" x14ac:dyDescent="0.25">
      <x:c r="B45" s="250"/>
      <x:c r="C45" s="0" t="s">
        <x:v>45</x:v>
      </x:c>
      <x:c r="D45" s="227" t="s">
        <x:v>40</x:v>
      </x:c>
      <x:c r="F45" s="225">
        <x:v>51</x:v>
      </x:c>
      <x:c r="G45" s="225">
        <x:v>51</x:v>
      </x:c>
      <x:c r="H45" s="225">
        <x:f>F45*B45</x:f>
      </x:c>
      <x:c r="I45" s="225">
        <x:f>G45*B45</x:f>
      </x:c>
      <x:c r="J45" s="225">
        <x:f>F45*0.23*3*B45</x:f>
      </x:c>
      <x:c r="K45" s="225">
        <x:f>G45*0.23*3*B45</x:f>
      </x:c>
      <x:c r="M45" s="251"/>
      <x:c r="O45" s="124"/>
      <x:c r="P45" s="125"/>
      <x:c r="Q45" s="125"/>
      <x:c r="R45" s="125"/>
      <x:c r="S45" s="125"/>
      <x:c r="T45" s="125"/>
      <x:c r="U45" s="125"/>
      <x:c r="V45" s="125"/>
      <x:c r="W45" s="126"/>
      <x:c r="X45" s="126"/>
      <x:c r="Y45" s="126"/>
      <x:c r="Z45" s="126"/>
      <x:c r="AA45" s="126"/>
      <x:c r="AB45" s="126"/>
      <x:c r="AC45" s="126"/>
      <x:c r="AD45" s="126"/>
      <x:c r="AE45" s="127"/>
    </x:row>
    <x:row r="46" spans="1:39" ht="18.75" customHeight="1" x14ac:dyDescent="0.3">
      <x:c r="B46" s="250"/>
      <x:c r="C46" s="0" t="s">
        <x:v>45</x:v>
      </x:c>
      <x:c r="D46" s="228" t="s">
        <x:v>41</x:v>
      </x:c>
      <x:c r="F46" s="225">
        <x:v>65</x:v>
      </x:c>
      <x:c r="G46" s="225">
        <x:v>65</x:v>
      </x:c>
      <x:c r="H46" s="225">
        <x:f>F46*B46</x:f>
      </x:c>
      <x:c r="I46" s="225">
        <x:f>G46*B46</x:f>
      </x:c>
      <x:c r="J46" s="225">
        <x:f>F46*0.23*3*B46</x:f>
      </x:c>
      <x:c r="K46" s="225">
        <x:f>G46*0.23*3*B46</x:f>
      </x:c>
      <x:c r="M46" s="251"/>
      <x:c r="O46" s="122" t="s">
        <x:v>131</x:v>
      </x:c>
      <x:c r="P46" s="109"/>
      <x:c r="Q46" s="109"/>
      <x:c r="R46" s="109"/>
      <x:c r="S46" s="109"/>
      <x:c r="T46" s="109"/>
      <x:c r="U46" s="109"/>
      <x:c r="V46" s="109"/>
      <x:c r="W46" s="109"/>
      <x:c r="X46" s="109"/>
      <x:c r="Y46" s="109"/>
      <x:c r="Z46" s="109"/>
      <x:c r="AA46" s="109"/>
      <x:c r="AB46" s="109"/>
      <x:c r="AC46" s="109"/>
      <x:c r="AD46" s="109"/>
      <x:c r="AE46" s="110"/>
    </x:row>
    <x:row r="47" spans="1:39" ht="18.75" customHeight="1" x14ac:dyDescent="0.3">
      <x:c r="B47" s="250"/>
      <x:c r="C47" s="0" t="s">
        <x:v>45</x:v>
      </x:c>
      <x:c r="D47" s="229" t="s">
        <x:v>42</x:v>
      </x:c>
      <x:c r="F47" s="225">
        <x:v>65</x:v>
      </x:c>
      <x:c r="G47" s="225">
        <x:v>65</x:v>
      </x:c>
      <x:c r="H47" s="225">
        <x:f>F47*B47</x:f>
      </x:c>
      <x:c r="I47" s="225">
        <x:f>G47*B47</x:f>
      </x:c>
      <x:c r="J47" s="225">
        <x:f>F47*0.23*3*B47</x:f>
      </x:c>
      <x:c r="K47" s="225">
        <x:f>G47*0.23*3*B47</x:f>
      </x:c>
      <x:c r="M47" s="269"/>
      <x:c r="O47" s="122" t="s">
        <x:v>79</x:v>
      </x:c>
      <x:c r="P47" s="109"/>
      <x:c r="Q47" s="109"/>
      <x:c r="R47" s="109"/>
      <x:c r="S47" s="109"/>
      <x:c r="T47" s="109"/>
      <x:c r="U47" s="109"/>
      <x:c r="V47" s="109"/>
      <x:c r="W47" s="109"/>
      <x:c r="X47" s="109"/>
      <x:c r="Y47" s="109"/>
      <x:c r="Z47" s="109"/>
      <x:c r="AA47" s="109"/>
      <x:c r="AB47" s="109"/>
      <x:c r="AC47" s="109"/>
      <x:c r="AD47" s="109"/>
      <x:c r="AE47" s="110"/>
    </x:row>
    <x:row r="48" spans="1:39" ht="18.75" customHeight="1" x14ac:dyDescent="0.3">
      <x:c r="B48" s="250"/>
      <x:c r="C48" s="0" t="s">
        <x:v>46</x:v>
      </x:c>
      <x:c r="D48" s="227" t="s">
        <x:v>40</x:v>
      </x:c>
      <x:c r="F48" s="225">
        <x:v>65</x:v>
      </x:c>
      <x:c r="G48" s="225">
        <x:v>65</x:v>
      </x:c>
      <x:c r="H48" s="225">
        <x:f>F48*B48</x:f>
      </x:c>
      <x:c r="I48" s="225">
        <x:f>G48*B48</x:f>
      </x:c>
      <x:c r="J48" s="225">
        <x:f>F48*0.23*3*B48</x:f>
      </x:c>
      <x:c r="K48" s="225">
        <x:f>G48*0.23*3*B48</x:f>
      </x:c>
      <x:c r="M48" s="251"/>
      <x:c r="O48" s="108"/>
      <x:c r="P48" s="109"/>
      <x:c r="Q48" s="109"/>
      <x:c r="R48" s="109"/>
      <x:c r="S48" s="109"/>
      <x:c r="T48" s="109"/>
      <x:c r="U48" s="109"/>
      <x:c r="V48" s="109"/>
      <x:c r="W48" s="109"/>
      <x:c r="X48" s="109"/>
      <x:c r="Y48" s="109"/>
      <x:c r="Z48" s="109"/>
      <x:c r="AA48" s="109"/>
      <x:c r="AB48" s="109"/>
      <x:c r="AC48" s="109"/>
      <x:c r="AD48" s="109"/>
      <x:c r="AE48" s="110"/>
    </x:row>
    <x:row r="49" spans="1:39" ht="18.75" customHeight="1" x14ac:dyDescent="0.3">
      <x:c r="B49" s="250"/>
      <x:c r="C49" s="0" t="s">
        <x:v>46</x:v>
      </x:c>
      <x:c r="D49" s="228" t="s">
        <x:v>41</x:v>
      </x:c>
      <x:c r="F49" s="225">
        <x:v>65</x:v>
      </x:c>
      <x:c r="G49" s="225">
        <x:v>65</x:v>
      </x:c>
      <x:c r="H49" s="225">
        <x:f>F49*B49</x:f>
      </x:c>
      <x:c r="I49" s="225">
        <x:f>G49*B49</x:f>
      </x:c>
      <x:c r="J49" s="225">
        <x:f>F49*0.23*3*B49</x:f>
      </x:c>
      <x:c r="K49" s="225">
        <x:f>G49*0.23*3*B49</x:f>
      </x:c>
      <x:c r="M49" s="251"/>
      <x:c r="O49" s="108"/>
      <x:c r="P49" s="109"/>
      <x:c r="Q49" s="109"/>
      <x:c r="R49" s="109"/>
      <x:c r="S49" s="109"/>
      <x:c r="T49" s="109"/>
      <x:c r="U49" s="109"/>
      <x:c r="V49" s="109"/>
      <x:c r="W49" s="109"/>
      <x:c r="X49" s="109"/>
      <x:c r="Y49" s="109"/>
      <x:c r="Z49" s="109"/>
      <x:c r="AA49" s="109"/>
      <x:c r="AB49" s="109"/>
      <x:c r="AC49" s="109"/>
      <x:c r="AD49" s="109"/>
      <x:c r="AE49" s="110"/>
    </x:row>
    <x:row r="50" spans="1:39" ht="18.75" customHeight="1" x14ac:dyDescent="0.3">
      <x:c r="B50" s="250"/>
      <x:c r="C50" s="0" t="s">
        <x:v>46</x:v>
      </x:c>
      <x:c r="D50" s="229" t="s">
        <x:v>42</x:v>
      </x:c>
      <x:c r="F50" s="225">
        <x:v>65</x:v>
      </x:c>
      <x:c r="G50" s="225">
        <x:v>65</x:v>
      </x:c>
      <x:c r="H50" s="225">
        <x:f>F50*B50</x:f>
      </x:c>
      <x:c r="I50" s="225">
        <x:f>G50*B50</x:f>
      </x:c>
      <x:c r="J50" s="225">
        <x:f>F50*0.23*3*B50</x:f>
      </x:c>
      <x:c r="K50" s="225">
        <x:f>G50*0.23*3*B50</x:f>
      </x:c>
      <x:c r="M50" s="269"/>
      <x:c r="O50" s="108"/>
      <x:c r="P50" s="109"/>
      <x:c r="Q50" s="109"/>
      <x:c r="R50" s="109"/>
      <x:c r="S50" s="109"/>
      <x:c r="T50" s="109"/>
      <x:c r="U50" s="109"/>
      <x:c r="V50" s="109"/>
      <x:c r="W50" s="109"/>
      <x:c r="X50" s="109"/>
      <x:c r="Y50" s="109"/>
      <x:c r="Z50" s="109"/>
      <x:c r="AA50" s="109"/>
      <x:c r="AB50" s="109"/>
      <x:c r="AC50" s="109"/>
      <x:c r="AD50" s="109"/>
      <x:c r="AE50" s="110"/>
    </x:row>
    <x:row r="51" spans="1:39" ht="18.75" customHeight="1" x14ac:dyDescent="0.3">
      <x:c r="B51" s="249"/>
      <x:c r="F51" s="4"/>
      <x:c r="G51" s="4"/>
      <x:c r="H51" s="4"/>
      <x:c r="I51" s="4"/>
      <x:c r="J51" s="4"/>
      <x:c r="K51" s="4"/>
      <x:c r="M51" s="251"/>
      <x:c r="O51" s="108"/>
      <x:c r="P51" s="109"/>
      <x:c r="Q51" s="109"/>
      <x:c r="R51" s="109"/>
      <x:c r="S51" s="109"/>
      <x:c r="T51" s="109"/>
      <x:c r="U51" s="109"/>
      <x:c r="V51" s="109"/>
      <x:c r="W51" s="109"/>
      <x:c r="X51" s="109"/>
      <x:c r="Y51" s="109"/>
      <x:c r="Z51" s="109"/>
      <x:c r="AA51" s="109"/>
      <x:c r="AB51" s="109"/>
      <x:c r="AC51" s="109"/>
      <x:c r="AD51" s="109"/>
      <x:c r="AE51" s="110"/>
    </x:row>
    <x:row r="52" spans="1:39" ht="18.75" customHeight="1" x14ac:dyDescent="0.3">
      <x:c r="B52" s="249"/>
      <x:c r="C52" s="2" t="s">
        <x:v>47</x:v>
      </x:c>
      <x:c r="F52" s="4"/>
      <x:c r="G52" s="4"/>
      <x:c r="H52" s="4"/>
      <x:c r="I52" s="4"/>
      <x:c r="J52" s="4"/>
      <x:c r="K52" s="4"/>
      <x:c r="M52" s="251"/>
      <x:c r="O52" s="108"/>
      <x:c r="P52" s="109"/>
      <x:c r="Q52" s="109"/>
      <x:c r="R52" s="109"/>
      <x:c r="S52" s="109"/>
      <x:c r="T52" s="109"/>
      <x:c r="U52" s="109"/>
      <x:c r="V52" s="109"/>
      <x:c r="W52" s="109"/>
      <x:c r="X52" s="109"/>
      <x:c r="Y52" s="109"/>
      <x:c r="Z52" s="109"/>
      <x:c r="AA52" s="109"/>
      <x:c r="AB52" s="109"/>
      <x:c r="AC52" s="109"/>
      <x:c r="AD52" s="109"/>
      <x:c r="AE52" s="110"/>
    </x:row>
    <x:row r="53" spans="1:39" ht="18.75" customHeight="1" x14ac:dyDescent="0.3">
      <x:c r="B53" s="250"/>
      <x:c r="C53" s="0" t="s">
        <x:v>48</x:v>
      </x:c>
      <x:c r="D53" s="227" t="s">
        <x:v>40</x:v>
      </x:c>
      <x:c r="F53" s="225">
        <x:v>85</x:v>
      </x:c>
      <x:c r="G53" s="225">
        <x:v>85</x:v>
      </x:c>
      <x:c r="H53" s="225">
        <x:f>F53*B53</x:f>
      </x:c>
      <x:c r="I53" s="225">
        <x:f>G53*B53</x:f>
      </x:c>
      <x:c r="J53" s="225">
        <x:f>F53*0.23*3*B53</x:f>
      </x:c>
      <x:c r="K53" s="225">
        <x:f>G53*0.23*3*B53</x:f>
      </x:c>
      <x:c r="M53" s="269"/>
      <x:c r="O53" s="108"/>
      <x:c r="P53" s="109"/>
      <x:c r="Q53" s="109"/>
      <x:c r="R53" s="109"/>
      <x:c r="S53" s="109"/>
      <x:c r="T53" s="109"/>
      <x:c r="U53" s="109"/>
      <x:c r="V53" s="109"/>
      <x:c r="W53" s="109"/>
      <x:c r="X53" s="109"/>
      <x:c r="Y53" s="109"/>
      <x:c r="Z53" s="109"/>
      <x:c r="AA53" s="109"/>
      <x:c r="AB53" s="109"/>
      <x:c r="AC53" s="109"/>
      <x:c r="AD53" s="109"/>
      <x:c r="AE53" s="110"/>
    </x:row>
    <x:row r="54" spans="1:39" ht="18.75" customHeight="1" x14ac:dyDescent="0.3">
      <x:c r="B54" s="250"/>
      <x:c r="D54" s="228" t="s">
        <x:v>41</x:v>
      </x:c>
      <x:c r="F54" s="225">
        <x:v>210</x:v>
      </x:c>
      <x:c r="G54" s="225">
        <x:v>210</x:v>
      </x:c>
      <x:c r="H54" s="225">
        <x:f>F54*B54</x:f>
      </x:c>
      <x:c r="I54" s="225">
        <x:f>G54*B54</x:f>
      </x:c>
      <x:c r="J54" s="225">
        <x:f>F54*0.23*3*B54</x:f>
      </x:c>
      <x:c r="K54" s="225">
        <x:f>G54*0.23*3*B54</x:f>
      </x:c>
      <x:c r="M54" s="251"/>
      <x:c r="O54" s="108"/>
      <x:c r="P54" s="109"/>
      <x:c r="Q54" s="109"/>
      <x:c r="R54" s="109"/>
      <x:c r="S54" s="109"/>
      <x:c r="T54" s="109"/>
      <x:c r="U54" s="109"/>
      <x:c r="V54" s="109"/>
      <x:c r="W54" s="109"/>
      <x:c r="X54" s="109"/>
      <x:c r="Y54" s="109"/>
      <x:c r="Z54" s="109"/>
      <x:c r="AA54" s="109"/>
      <x:c r="AB54" s="109"/>
      <x:c r="AC54" s="109"/>
      <x:c r="AD54" s="109"/>
      <x:c r="AE54" s="110"/>
    </x:row>
    <x:row r="55" spans="1:39" ht="15.75" customHeight="1" x14ac:dyDescent="0.3">
      <x:c r="B55" s="250"/>
      <x:c r="D55" s="229" t="s">
        <x:v>42</x:v>
      </x:c>
      <x:c r="F55" s="225">
        <x:v>210</x:v>
      </x:c>
      <x:c r="G55" s="225">
        <x:v>210</x:v>
      </x:c>
      <x:c r="H55" s="225">
        <x:f>F55*B55</x:f>
      </x:c>
      <x:c r="I55" s="225">
        <x:f>G55*B55</x:f>
      </x:c>
      <x:c r="J55" s="225">
        <x:f>F55*0.23*3*B55</x:f>
      </x:c>
      <x:c r="K55" s="225">
        <x:f>G55*0.23*3*B55</x:f>
      </x:c>
      <x:c r="M55" s="251"/>
      <x:c r="O55" s="45"/>
      <x:c r="P55" s="46"/>
      <x:c r="Q55" s="46"/>
      <x:c r="R55" s="46"/>
      <x:c r="S55" s="46"/>
      <x:c r="T55" s="46"/>
      <x:c r="U55" s="46"/>
      <x:c r="V55" s="46"/>
      <x:c r="W55" s="111"/>
      <x:c r="X55" s="111"/>
      <x:c r="Y55" s="111"/>
      <x:c r="Z55" s="111"/>
      <x:c r="AA55" s="111"/>
      <x:c r="AB55" s="111"/>
      <x:c r="AC55" s="111"/>
      <x:c r="AD55" s="46"/>
      <x:c r="AE55" s="123"/>
    </x:row>
    <x:row r="56" spans="1:39" x14ac:dyDescent="0.25">
      <x:c r="B56" s="250"/>
      <x:c r="C56" s="0" t="s">
        <x:v>49</x:v>
      </x:c>
      <x:c r="D56" s="227" t="s">
        <x:v>40</x:v>
      </x:c>
      <x:c r="F56" s="225">
        <x:v>106</x:v>
      </x:c>
      <x:c r="G56" s="225">
        <x:v>106</x:v>
      </x:c>
      <x:c r="H56" s="225">
        <x:f>F56*B56</x:f>
      </x:c>
      <x:c r="I56" s="225">
        <x:f>G56*B56</x:f>
      </x:c>
      <x:c r="J56" s="225">
        <x:f>F56*0.23*3*B56</x:f>
      </x:c>
      <x:c r="K56" s="225">
        <x:f>G56*0.23*3*B56</x:f>
      </x:c>
      <x:c r="M56" s="269"/>
      <x:c r="O56" s="270" t="s">
        <x:v>80</x:v>
      </x:c>
      <x:c r="P56" s="22"/>
      <x:c r="Q56" s="23"/>
      <x:c r="R56" s="24"/>
      <x:c r="S56" s="22"/>
      <x:c r="T56" s="23"/>
      <x:c r="U56" s="24"/>
      <x:c r="V56" s="59"/>
      <x:c r="W56" s="141" t="s">
        <x:v>81</x:v>
      </x:c>
      <x:c r="X56" s="141" t="s">
        <x:v>82</x:v>
      </x:c>
      <x:c r="Y56" s="141" t="s">
        <x:v>83</x:v>
      </x:c>
      <x:c r="Z56" s="141" t="s">
        <x:v>84</x:v>
      </x:c>
      <x:c r="AA56" s="141" t="s">
        <x:v>85</x:v>
      </x:c>
      <x:c r="AB56" s="141" t="s">
        <x:v>86</x:v>
      </x:c>
      <x:c r="AC56" s="141" t="s">
        <x:v>87</x:v>
      </x:c>
      <x:c r="AD56" s="102"/>
      <x:c r="AE56" s="25"/>
      <x:c r="AF56" s="19"/>
    </x:row>
    <x:row r="57" spans="1:39" x14ac:dyDescent="0.25">
      <x:c r="B57" s="250"/>
      <x:c r="D57" s="228" t="s">
        <x:v>41</x:v>
      </x:c>
      <x:c r="F57" s="225">
        <x:v>210</x:v>
      </x:c>
      <x:c r="G57" s="225">
        <x:v>210</x:v>
      </x:c>
      <x:c r="H57" s="225">
        <x:f>F57*B57</x:f>
      </x:c>
      <x:c r="I57" s="225">
        <x:f>G57*B57</x:f>
      </x:c>
      <x:c r="J57" s="225">
        <x:f>F57*0.23*3*B57</x:f>
      </x:c>
      <x:c r="K57" s="225">
        <x:f>G57*0.23*3*B57</x:f>
      </x:c>
      <x:c r="M57" s="251"/>
      <x:c r="O57" s="70" t="s">
        <x:v>88</x:v>
      </x:c>
      <x:c r="P57" s="29"/>
      <x:c r="Q57" s="30"/>
      <x:c r="R57" s="31"/>
      <x:c r="S57" s="29"/>
      <x:c r="T57" s="30"/>
      <x:c r="U57" s="31"/>
      <x:c r="V57" s="61"/>
      <x:c r="W57" s="93" t="s">
        <x:v>89</x:v>
      </x:c>
      <x:c r="X57" s="93" t="s">
        <x:v>90</x:v>
      </x:c>
      <x:c r="Y57" s="93" t="s">
        <x:v>91</x:v>
      </x:c>
      <x:c r="Z57" s="93" t="s">
        <x:v>92</x:v>
      </x:c>
      <x:c r="AA57" s="93" t="s">
        <x:v>93</x:v>
      </x:c>
      <x:c r="AB57" s="93" t="s">
        <x:v>94</x:v>
      </x:c>
      <x:c r="AC57" s="93" t="s">
        <x:v>95</x:v>
      </x:c>
      <x:c r="AD57" s="103" t="s">
        <x:v>96</x:v>
      </x:c>
      <x:c r="AE57" s="26"/>
      <x:c r="AF57" s="19"/>
    </x:row>
    <x:row r="58" spans="1:39" x14ac:dyDescent="0.25">
      <x:c r="B58" s="250"/>
      <x:c r="D58" s="229" t="s">
        <x:v>42</x:v>
      </x:c>
      <x:c r="F58" s="225">
        <x:v>210</x:v>
      </x:c>
      <x:c r="G58" s="225">
        <x:v>210</x:v>
      </x:c>
      <x:c r="H58" s="225">
        <x:f>F58*B58</x:f>
      </x:c>
      <x:c r="I58" s="225">
        <x:f>G58*B58</x:f>
      </x:c>
      <x:c r="J58" s="225">
        <x:f>F58*0.23*3*B58</x:f>
      </x:c>
      <x:c r="K58" s="225">
        <x:f>G58*0.23*3*B58</x:f>
      </x:c>
      <x:c r="M58" s="251"/>
      <x:c r="O58" s="27"/>
      <x:c r="P58" s="55" t="s">
        <x:v>97</x:v>
      </x:c>
      <x:c r="Q58" s="21"/>
      <x:c r="R58" s="56"/>
      <x:c r="S58" s="55" t="s">
        <x:v>98</x:v>
      </x:c>
      <x:c r="T58" s="21"/>
      <x:c r="U58" s="56"/>
      <x:c r="V58" s="60"/>
      <x:c r="W58" s="94">
        <x:v>63</x:v>
      </x:c>
      <x:c r="X58" s="94">
        <x:v>80</x:v>
      </x:c>
      <x:c r="Y58" s="94">
        <x:v>100</x:v>
      </x:c>
      <x:c r="Z58" s="94">
        <x:v>125</x:v>
      </x:c>
      <x:c r="AA58" s="94">
        <x:v>160</x:v>
      </x:c>
      <x:c r="AB58" s="94">
        <x:v>200</x:v>
      </x:c>
      <x:c r="AC58" s="94">
        <x:v>250</x:v>
      </x:c>
      <x:c r="AD58" s="103" t="s">
        <x:v>99</x:v>
      </x:c>
      <x:c r="AE58" s="26"/>
      <x:c r="AF58" s="19"/>
    </x:row>
    <x:row r="59" spans="1:39" x14ac:dyDescent="0.25">
      <x:c r="B59" s="250"/>
      <x:c r="C59" s="0" t="s">
        <x:v>50</x:v>
      </x:c>
      <x:c r="D59" s="227" t="s">
        <x:v>40</x:v>
      </x:c>
      <x:c r="F59" s="225">
        <x:v>138</x:v>
      </x:c>
      <x:c r="G59" s="225">
        <x:v>138</x:v>
      </x:c>
      <x:c r="H59" s="225">
        <x:f>F59*B59</x:f>
      </x:c>
      <x:c r="I59" s="225">
        <x:f>G59*B59</x:f>
      </x:c>
      <x:c r="J59" s="225">
        <x:f>F59*0.23*3*B59</x:f>
      </x:c>
      <x:c r="K59" s="225">
        <x:f>G59*0.23*3*B59</x:f>
      </x:c>
      <x:c r="M59" s="251"/>
      <x:c r="O59" s="27"/>
      <x:c r="P59" s="55" t="s">
        <x:v>100</x:v>
      </x:c>
      <x:c r="Q59" s="21" t="s">
        <x:v>100</x:v>
      </x:c>
      <x:c r="R59" s="56" t="s">
        <x:v>100</x:v>
      </x:c>
      <x:c r="S59" s="55" t="s">
        <x:v>100</x:v>
      </x:c>
      <x:c r="T59" s="21" t="s">
        <x:v>100</x:v>
      </x:c>
      <x:c r="U59" s="56" t="s">
        <x:v>100</x:v>
      </x:c>
      <x:c r="V59" s="60" t="s">
        <x:v>101</x:v>
      </x:c>
      <x:c r="W59" s="94" t="s">
        <x:v>100</x:v>
      </x:c>
      <x:c r="X59" s="94" t="s">
        <x:v>100</x:v>
      </x:c>
      <x:c r="Y59" s="94" t="s">
        <x:v>100</x:v>
      </x:c>
      <x:c r="Z59" s="94" t="s">
        <x:v>100</x:v>
      </x:c>
      <x:c r="AA59" s="94" t="s">
        <x:v>100</x:v>
      </x:c>
      <x:c r="AB59" s="94" t="s">
        <x:v>100</x:v>
      </x:c>
      <x:c r="AC59" s="94" t="s">
        <x:v>100</x:v>
      </x:c>
      <x:c r="AD59" s="103" t="s">
        <x:v>102</x:v>
      </x:c>
      <x:c r="AE59" s="26"/>
      <x:c r="AF59" s="19"/>
    </x:row>
    <x:row r="60" spans="1:39" x14ac:dyDescent="0.25">
      <x:c r="B60" s="250"/>
      <x:c r="D60" s="228" t="s">
        <x:v>41</x:v>
      </x:c>
      <x:c r="F60" s="225">
        <x:v>210</x:v>
      </x:c>
      <x:c r="G60" s="225">
        <x:v>210</x:v>
      </x:c>
      <x:c r="H60" s="225">
        <x:f>F60*B60</x:f>
      </x:c>
      <x:c r="I60" s="225">
        <x:f>G60*B60</x:f>
      </x:c>
      <x:c r="J60" s="225">
        <x:f>F60*0.23*3*B60</x:f>
      </x:c>
      <x:c r="K60" s="225">
        <x:f>G60*0.23*3*B60</x:f>
      </x:c>
      <x:c r="M60" s="251"/>
      <x:c r="O60" s="27"/>
      <x:c r="P60" s="55"/>
      <x:c r="R60" s="56"/>
      <x:c r="S60" s="55"/>
      <x:c r="U60" s="56"/>
      <x:c r="V60" s="60"/>
      <x:c r="W60" s="94">
        <x:v>0.215</x:v>
      </x:c>
      <x:c r="X60" s="94">
        <x:v>0.17</x:v>
      </x:c>
      <x:c r="Y60" s="94">
        <x:v>0.136</x:v>
      </x:c>
      <x:c r="Z60" s="94">
        <x:v>0.109</x:v>
      </x:c>
      <x:c r="AA60" s="94">
        <x:v>0.085</x:v>
      </x:c>
      <x:c r="AB60" s="94">
        <x:v>0.068</x:v>
      </x:c>
      <x:c r="AC60" s="94">
        <x:v>0.055</x:v>
      </x:c>
      <x:c r="AD60" s="103"/>
      <x:c r="AE60" s="26"/>
      <x:c r="AF60" s="19"/>
    </x:row>
    <x:row r="61" spans="1:39" x14ac:dyDescent="0.25">
      <x:c r="B61" s="250"/>
      <x:c r="D61" s="229" t="s">
        <x:v>42</x:v>
      </x:c>
      <x:c r="F61" s="225">
        <x:v>210</x:v>
      </x:c>
      <x:c r="G61" s="225">
        <x:v>210</x:v>
      </x:c>
      <x:c r="H61" s="225">
        <x:f>F61*B61</x:f>
      </x:c>
      <x:c r="I61" s="225">
        <x:f>G61*B61</x:f>
      </x:c>
      <x:c r="J61" s="225">
        <x:f>F61*0.23*3*B61</x:f>
      </x:c>
      <x:c r="K61" s="225">
        <x:f>G61*0.23*3*B61</x:f>
      </x:c>
      <x:c r="M61" s="251"/>
      <x:c r="O61" s="28" t="s">
        <x:v>103</x:v>
      </x:c>
      <x:c r="P61" s="29" t="s">
        <x:v>104</x:v>
      </x:c>
      <x:c r="Q61" s="30" t="s">
        <x:v>105</x:v>
      </x:c>
      <x:c r="R61" s="31" t="s">
        <x:v>106</x:v>
      </x:c>
      <x:c r="S61" s="29" t="s">
        <x:v>104</x:v>
      </x:c>
      <x:c r="T61" s="30" t="s">
        <x:v>105</x:v>
      </x:c>
      <x:c r="U61" s="31" t="s">
        <x:v>106</x:v>
      </x:c>
      <x:c r="V61" s="61"/>
      <x:c r="W61" s="94">
        <x:v>0.25</x:v>
      </x:c>
      <x:c r="X61" s="94">
        <x:v>0.25</x:v>
      </x:c>
      <x:c r="Y61" s="94">
        <x:v>0.25</x:v>
      </x:c>
      <x:c r="Z61" s="94">
        <x:v>0.25</x:v>
      </x:c>
      <x:c r="AA61" s="94">
        <x:v>0.213</x:v>
      </x:c>
      <x:c r="AB61" s="94">
        <x:v>0.17</x:v>
      </x:c>
      <x:c r="AC61" s="94">
        <x:v>0.136</x:v>
      </x:c>
      <x:c r="AD61" s="31" t="s">
        <x:v>107</x:v>
      </x:c>
      <x:c r="AE61" s="32"/>
      <x:c r="AF61" s="19"/>
      <x:c r="AG61" s="253"/>
      <x:c r="AH61" s="253"/>
      <x:c r="AI61" s="253" t="s">
        <x:v>108</x:v>
      </x:c>
      <x:c r="AJ61" s="253"/>
      <x:c r="AK61" s="253"/>
      <x:c r="AL61" s="253"/>
      <x:c r="AM61" s="253"/>
    </x:row>
    <x:row r="62" spans="1:39" x14ac:dyDescent="0.25">
      <x:c r="B62" s="250"/>
      <x:c r="C62" s="0" t="s">
        <x:v>51</x:v>
      </x:c>
      <x:c r="D62" s="227" t="s">
        <x:v>40</x:v>
      </x:c>
      <x:c r="F62" s="225">
        <x:v>210</x:v>
      </x:c>
      <x:c r="G62" s="225">
        <x:v>210</x:v>
      </x:c>
      <x:c r="H62" s="225">
        <x:f>F62*B62</x:f>
      </x:c>
      <x:c r="I62" s="225">
        <x:f>G62*B62</x:f>
      </x:c>
      <x:c r="J62" s="225">
        <x:f>F62*0.23*3*B62</x:f>
      </x:c>
      <x:c r="K62" s="225">
        <x:f>G62*0.23*3*B62</x:f>
      </x:c>
      <x:c r="M62" s="251"/>
      <x:c r="O62" s="27" t="s">
        <x:v>109</x:v>
      </x:c>
      <x:c r="P62" s="33">
        <x:v>0.129</x:v>
      </x:c>
      <x:c r="Q62" s="62">
        <x:v>0.073</x:v>
      </x:c>
      <x:c r="R62" s="34">
        <x:f>SQRT(P62^2+Q62^2)</x:f>
      </x:c>
      <x:c r="S62" s="33">
        <x:f>+P62*AD62/1000</x:f>
      </x:c>
      <x:c r="T62" s="62">
        <x:f>+AD62*Q62/1000</x:f>
      </x:c>
      <x:c r="U62" s="34"/>
      <x:c r="V62" s="63">
        <x:v>359</x:v>
      </x:c>
      <x:c r="W62" s="96">
        <x:f>IF(W58&lt;=V62+3,+AD62,"X")</x:f>
      </x:c>
      <x:c r="X62" s="96">
        <x:f>IF(X58&lt;=V62+3,+AD62,"X")</x:f>
      </x:c>
      <x:c r="Y62" s="96">
        <x:f>IF(Y58&lt;=V62+3,+AD62,"X")</x:f>
      </x:c>
      <x:c r="Z62" s="96">
        <x:f>IF(Z58&lt;=V62+3,+AD62,"X")</x:f>
      </x:c>
      <x:c r="AA62" s="96">
        <x:f>IF(AA58&lt;=V62+3,+AD62,"X")</x:f>
      </x:c>
      <x:c r="AB62" s="96">
        <x:f>IF(AB58&lt;=V62+3,+AD62,"X")</x:f>
      </x:c>
      <x:c r="AC62" s="96">
        <x:f>IF(AC58&lt;=V62+3,+AD62,"X")</x:f>
      </x:c>
      <x:c r="AD62" s="254"/>
      <x:c r="AE62" s="35" t="s">
        <x:v>109</x:v>
      </x:c>
      <x:c r="AF62" s="19"/>
      <x:c r="AG62" s="255">
        <x:f>IF(OR(W62=AD62,AND(AD62=0,W62="X")),"OK","niet OK")</x:f>
      </x:c>
      <x:c r="AH62" s="255">
        <x:f>IF(OR(X62=AD62,AND(AD62=0,X62="X")),"OK","niet OK")</x:f>
      </x:c>
      <x:c r="AI62" s="255">
        <x:f>IF(OR(Y62=AD62,AND(AD62=0,Y62="X")),"OK","niet OK")</x:f>
      </x:c>
      <x:c r="AJ62" s="255">
        <x:f>IF(OR(Z62=AD62,AND(AD62=0,Z62="X")),"OK","niet OK")</x:f>
      </x:c>
      <x:c r="AK62" s="255">
        <x:f>IF(OR(AA62=AD62,AND(AD62=0,AA62="X")),"OK","niet OK")</x:f>
      </x:c>
      <x:c r="AL62" s="255">
        <x:f>IF(OR(AB62=AD62,AND(AD62=0,AB62="X")),"OK","niet OK")</x:f>
      </x:c>
      <x:c r="AM62" s="255">
        <x:f>IF(OR(AC62=AD62,AND(AD62=0,AC62="X")),"OK","niet OK")</x:f>
      </x:c>
    </x:row>
    <x:row r="63" spans="1:39" x14ac:dyDescent="0.25">
      <x:c r="B63" s="250"/>
      <x:c r="D63" s="228" t="s">
        <x:v>41</x:v>
      </x:c>
      <x:c r="F63" s="225">
        <x:v>210</x:v>
      </x:c>
      <x:c r="G63" s="225">
        <x:v>210</x:v>
      </x:c>
      <x:c r="H63" s="225">
        <x:f>F63*B63</x:f>
      </x:c>
      <x:c r="I63" s="225">
        <x:f>G63*B63</x:f>
      </x:c>
      <x:c r="J63" s="225">
        <x:f>F63*0.23*3*B63</x:f>
      </x:c>
      <x:c r="K63" s="225">
        <x:f>G63*0.23*3*B63</x:f>
      </x:c>
      <x:c r="M63" s="251"/>
      <x:c r="O63" s="27" t="s">
        <x:v>110</x:v>
      </x:c>
      <x:c r="P63" s="33">
        <x:v>0.206</x:v>
      </x:c>
      <x:c r="Q63" s="62">
        <x:v>0.079</x:v>
      </x:c>
      <x:c r="R63" s="34">
        <x:f>SQRT(P63^2+Q63^2)</x:f>
      </x:c>
      <x:c r="S63" s="33">
        <x:f>+P63*AD63/1000</x:f>
      </x:c>
      <x:c r="T63" s="62">
        <x:f>+AD63*Q63/1000</x:f>
      </x:c>
      <x:c r="U63" s="34"/>
      <x:c r="V63" s="63">
        <x:v>272</x:v>
      </x:c>
      <x:c r="W63" s="97">
        <x:f>IF(W58&lt;=V63+3,+AD63,"X")</x:f>
      </x:c>
      <x:c r="X63" s="97">
        <x:f>IF(X58&lt;=V63+3,+AD63,"X")</x:f>
      </x:c>
      <x:c r="Y63" s="97">
        <x:f>IF(Y58&lt;=V63+3,+AD63,"X")</x:f>
      </x:c>
      <x:c r="Z63" s="97">
        <x:f>IF(Z58&lt;=V63+3,+AD63,"X")</x:f>
      </x:c>
      <x:c r="AA63" s="97">
        <x:f>IF(AA58&lt;=V63+3,+AD63,"X")</x:f>
      </x:c>
      <x:c r="AB63" s="97">
        <x:f>IF(AB58&lt;=V63+3,+AD63,"X")</x:f>
      </x:c>
      <x:c r="AC63" s="97">
        <x:f>IF(AC58&lt;=V63+3,+AD63,"X")</x:f>
      </x:c>
      <x:c r="AD63" s="254"/>
      <x:c r="AE63" s="35" t="s">
        <x:v>110</x:v>
      </x:c>
      <x:c r="AF63" s="19"/>
      <x:c r="AG63" s="255">
        <x:f>IF(OR(W63=AD63,AND(AD63=0,W63="X")),"OK","niet OK")</x:f>
      </x:c>
      <x:c r="AH63" s="255">
        <x:f>IF(OR(X63=AD63,AND(AD63=0,X63="X")),"OK","niet OK")</x:f>
      </x:c>
      <x:c r="AI63" s="255">
        <x:f>IF(OR(Y63=AD63,AND(AD63=0,Y63="X")),"OK","niet OK")</x:f>
      </x:c>
      <x:c r="AJ63" s="255">
        <x:f>IF(OR(Z63=AD63,AND(AD63=0,Z63="X")),"OK","niet OK")</x:f>
      </x:c>
      <x:c r="AK63" s="255">
        <x:f>IF(OR(AA63=AD63,AND(AD63=0,AA63="X")),"OK","niet OK")</x:f>
      </x:c>
      <x:c r="AL63" s="255">
        <x:f>IF(OR(AB63=AD63,AND(AD63=0,AB63="X")),"OK","niet OK")</x:f>
      </x:c>
      <x:c r="AM63" s="255">
        <x:f>IF(OR(AC63=AD63,AND(AD63=0,AC63="X")),"OK","niet OK")</x:f>
      </x:c>
    </x:row>
    <x:row r="64" spans="1:39" x14ac:dyDescent="0.25">
      <x:c r="B64" s="250"/>
      <x:c r="D64" s="229" t="s">
        <x:v>42</x:v>
      </x:c>
      <x:c r="F64" s="225">
        <x:v>210</x:v>
      </x:c>
      <x:c r="G64" s="225">
        <x:v>210</x:v>
      </x:c>
      <x:c r="H64" s="225">
        <x:f>F64*B64</x:f>
      </x:c>
      <x:c r="I64" s="225">
        <x:f>G64*B64</x:f>
      </x:c>
      <x:c r="J64" s="225">
        <x:f>F64*0.23*3*B64</x:f>
      </x:c>
      <x:c r="K64" s="225">
        <x:f>G64*0.23*3*B64</x:f>
      </x:c>
      <x:c r="M64" s="251"/>
      <x:c r="O64" s="27" t="s">
        <x:v>111</x:v>
      </x:c>
      <x:c r="P64" s="33">
        <x:v>0.281</x:v>
      </x:c>
      <x:c r="Q64" s="62">
        <x:v>0.081</x:v>
      </x:c>
      <x:c r="R64" s="34">
        <x:f>SQRT(P64^2+Q64^2)</x:f>
      </x:c>
      <x:c r="S64" s="33">
        <x:f>+P64*AD64/1000</x:f>
      </x:c>
      <x:c r="T64" s="62">
        <x:f>+AD64*Q64/1000</x:f>
      </x:c>
      <x:c r="U64" s="34"/>
      <x:c r="V64" s="63">
        <x:v>243</x:v>
      </x:c>
      <x:c r="W64" s="97">
        <x:f>IF(W58&lt;=V64+3,+AD64,"X")</x:f>
      </x:c>
      <x:c r="X64" s="97">
        <x:f>IF(X58&lt;=V64+3,+AD64,"X")</x:f>
      </x:c>
      <x:c r="Y64" s="97">
        <x:f>IF(Y58&lt;=V64+3,+AD64,"X")</x:f>
      </x:c>
      <x:c r="Z64" s="97">
        <x:f>IF(Z58&lt;=V64+3,+AD64,"X")</x:f>
      </x:c>
      <x:c r="AA64" s="97">
        <x:f>IF(AA58&lt;=V64+3,+AD64,"X")</x:f>
      </x:c>
      <x:c r="AB64" s="97">
        <x:f>IF(AB58&lt;=V64+3,+AD64,"X")</x:f>
      </x:c>
      <x:c r="AC64" s="97">
        <x:f>IF(AC58&lt;=V64+3,+AD64,"X")</x:f>
      </x:c>
      <x:c r="AD64" s="254"/>
      <x:c r="AE64" s="35" t="s">
        <x:v>111</x:v>
      </x:c>
      <x:c r="AF64" s="19"/>
      <x:c r="AG64" s="255">
        <x:f>IF(OR(W64=AD64,AND(AD64=0,W64="X")),"OK","niet OK")</x:f>
      </x:c>
      <x:c r="AH64" s="255">
        <x:f>IF(OR(X64=AD64,AND(AD64=0,X64="X")),"OK","niet OK")</x:f>
      </x:c>
      <x:c r="AI64" s="255">
        <x:f>IF(OR(Y64=AD64,AND(AD64=0,Y64="X")),"OK","niet OK")</x:f>
      </x:c>
      <x:c r="AJ64" s="255">
        <x:f>IF(OR(Z64=AD64,AND(AD64=0,Z64="X")),"OK","niet OK")</x:f>
      </x:c>
      <x:c r="AK64" s="255">
        <x:f>IF(OR(AA64=AD64,AND(AD64=0,AA64="X")),"OK","niet OK")</x:f>
      </x:c>
      <x:c r="AL64" s="255">
        <x:f>IF(OR(AB64=AD64,AND(AD64=0,AB64="X")),"OK","niet OK")</x:f>
      </x:c>
      <x:c r="AM64" s="255">
        <x:f>IF(OR(AC64=AD64,AND(AD64=0,AC64="X")),"OK","niet OK")</x:f>
      </x:c>
    </x:row>
    <x:row r="65" spans="1:39" x14ac:dyDescent="0.25">
      <x:c r="B65" s="250"/>
      <x:c r="C65" s="0" t="s">
        <x:v>52</x:v>
      </x:c>
      <x:c r="D65" s="227" t="s">
        <x:v>40</x:v>
      </x:c>
      <x:c r="F65" s="225">
        <x:v>210</x:v>
      </x:c>
      <x:c r="G65" s="225">
        <x:v>210</x:v>
      </x:c>
      <x:c r="H65" s="225">
        <x:f>F65*B65</x:f>
      </x:c>
      <x:c r="I65" s="225">
        <x:f>G65*B65</x:f>
      </x:c>
      <x:c r="J65" s="225">
        <x:f>F65*0.23*3*B65</x:f>
      </x:c>
      <x:c r="K65" s="225">
        <x:f>G65*0.23*3*B65</x:f>
      </x:c>
      <x:c r="M65" s="251"/>
      <x:c r="O65" s="27" t="s">
        <x:v>112</x:v>
      </x:c>
      <x:c r="P65" s="33">
        <x:v>0.32</x:v>
      </x:c>
      <x:c r="Q65" s="62">
        <x:v>0.082</x:v>
      </x:c>
      <x:c r="R65" s="34">
        <x:f>SQRT(P65^2+Q65^2)</x:f>
      </x:c>
      <x:c r="S65" s="33">
        <x:f>+P65*AD65/1000</x:f>
      </x:c>
      <x:c r="T65" s="62">
        <x:f>+AD65*Q65/1000</x:f>
      </x:c>
      <x:c r="U65" s="34"/>
      <x:c r="V65" s="63">
        <x:v>213</x:v>
      </x:c>
      <x:c r="W65" s="97">
        <x:f>IF(W58&lt;=V65+3,+AD65,"X")</x:f>
      </x:c>
      <x:c r="X65" s="97">
        <x:f>IF(X58&lt;=V65+3,+AD65,"X")</x:f>
      </x:c>
      <x:c r="Y65" s="97">
        <x:f>IF(Y58&lt;=V65+3,+AD65,"X")</x:f>
      </x:c>
      <x:c r="Z65" s="97">
        <x:f>IF(Z58&lt;=V65+3,+AD65,"X")</x:f>
      </x:c>
      <x:c r="AA65" s="97">
        <x:f>IF(AA58&lt;=V65+3,+AD65,"X")</x:f>
      </x:c>
      <x:c r="AB65" s="97">
        <x:f>IF(AB58&lt;=V65+3,+AD65,"X")</x:f>
      </x:c>
      <x:c r="AC65" s="97">
        <x:f>IF(AC58&lt;=V65+3,+AD65,"X")</x:f>
      </x:c>
      <x:c r="AD65" s="254"/>
      <x:c r="AE65" s="35" t="s">
        <x:v>112</x:v>
      </x:c>
      <x:c r="AF65" s="19"/>
      <x:c r="AG65" s="255">
        <x:f>IF(OR(W65=AD65,AND(AD65=0,W65="X")),"OK","niet OK")</x:f>
      </x:c>
      <x:c r="AH65" s="255">
        <x:f>IF(OR(X65=AD65,AND(AD65=0,X65="X")),"OK","niet OK")</x:f>
      </x:c>
      <x:c r="AI65" s="255">
        <x:f>IF(OR(Y65=AD65,AND(AD65=0,Y65="X")),"OK","niet OK")</x:f>
      </x:c>
      <x:c r="AJ65" s="255">
        <x:f>IF(OR(Z65=AD65,AND(AD65=0,Z65="X")),"OK","niet OK")</x:f>
      </x:c>
      <x:c r="AK65" s="255">
        <x:f>IF(OR(AA65=AD65,AND(AD65=0,AA65="X")),"OK","niet OK")</x:f>
      </x:c>
      <x:c r="AL65" s="255">
        <x:f>IF(OR(AB65=AD65,AND(AD65=0,AB65="X")),"OK","niet OK")</x:f>
      </x:c>
      <x:c r="AM65" s="255">
        <x:f>IF(OR(AC65=AD65,AND(AD65=0,AC65="X")),"OK","niet OK")</x:f>
      </x:c>
    </x:row>
    <x:row r="66" spans="1:39" x14ac:dyDescent="0.25">
      <x:c r="B66" s="250"/>
      <x:c r="D66" s="228" t="s">
        <x:v>41</x:v>
      </x:c>
      <x:c r="F66" s="225">
        <x:v>210</x:v>
      </x:c>
      <x:c r="G66" s="225">
        <x:v>210</x:v>
      </x:c>
      <x:c r="H66" s="225">
        <x:f>F66*B66</x:f>
      </x:c>
      <x:c r="I66" s="225">
        <x:f>G66*B66</x:f>
      </x:c>
      <x:c r="J66" s="225">
        <x:f>F66*0.23*3*B66</x:f>
      </x:c>
      <x:c r="K66" s="225">
        <x:f>G66*0.23*3*B66</x:f>
      </x:c>
      <x:c r="M66" s="251"/>
      <x:c r="O66" s="27" t="s">
        <x:v>113</x:v>
      </x:c>
      <x:c r="P66" s="33">
        <x:v>0.443</x:v>
      </x:c>
      <x:c r="Q66" s="62">
        <x:f>(Q65+Q67)/2</x:f>
      </x:c>
      <x:c r="R66" s="34">
        <x:f>SQRT(P66^2+Q66^2)</x:f>
      </x:c>
      <x:c r="S66" s="33">
        <x:f>+P66*AD66/1000</x:f>
      </x:c>
      <x:c r="T66" s="62">
        <x:f>+AD66*Q66/1000</x:f>
      </x:c>
      <x:c r="U66" s="34"/>
      <x:c r="V66" s="63">
        <x:v>177</x:v>
      </x:c>
      <x:c r="W66" s="97">
        <x:f>IF(W58&lt;=V66+3,+AD66,"X")</x:f>
      </x:c>
      <x:c r="X66" s="97">
        <x:f>IF(X58&lt;=V66+3,+AD66,"X")</x:f>
      </x:c>
      <x:c r="Y66" s="97">
        <x:f>IF(Y58&lt;=V66+3,+AD66,"X")</x:f>
      </x:c>
      <x:c r="Z66" s="97">
        <x:f>IF(Z58&lt;=V66+3,+AD66,"X")</x:f>
      </x:c>
      <x:c r="AA66" s="97">
        <x:f>IF(AA58&lt;=V66+3,+AD66,"X")</x:f>
      </x:c>
      <x:c r="AB66" s="97">
        <x:f>IF(AB58&lt;=V66+3,+AD66,"X")</x:f>
      </x:c>
      <x:c r="AC66" s="97">
        <x:f>IF(AC58&lt;=V66+3,+AD66,"X")</x:f>
      </x:c>
      <x:c r="AD66" s="254"/>
      <x:c r="AE66" s="35" t="s">
        <x:v>113</x:v>
      </x:c>
      <x:c r="AF66" s="19"/>
      <x:c r="AG66" s="255">
        <x:f>IF(OR(W66=AD66,AND(AD66=0,W66="X")),"OK","niet OK")</x:f>
      </x:c>
      <x:c r="AH66" s="255">
        <x:f>IF(OR(X66=AD66,AND(AD66=0,X66="X")),"OK","niet OK")</x:f>
      </x:c>
      <x:c r="AI66" s="255">
        <x:f>IF(OR(Y66=AD66,AND(AD66=0,Y66="X")),"OK","niet OK")</x:f>
      </x:c>
      <x:c r="AJ66" s="255">
        <x:f>IF(OR(Z66=AD66,AND(AD66=0,Z66="X")),"OK","niet OK")</x:f>
      </x:c>
      <x:c r="AK66" s="255">
        <x:f>IF(OR(AA66=AD66,AND(AD66=0,AA66="X")),"OK","niet OK")</x:f>
      </x:c>
      <x:c r="AL66" s="255">
        <x:f>IF(OR(AB66=AD66,AND(AD66=0,AB66="X")),"OK","niet OK")</x:f>
      </x:c>
      <x:c r="AM66" s="255">
        <x:f>IF(OR(AC66=AD66,AND(AD66=0,AC66="X")),"OK","niet OK")</x:f>
      </x:c>
    </x:row>
    <x:row r="67" spans="1:39" x14ac:dyDescent="0.25">
      <x:c r="B67" s="250"/>
      <x:c r="D67" s="229" t="s">
        <x:v>42</x:v>
      </x:c>
      <x:c r="F67" s="225">
        <x:v>210</x:v>
      </x:c>
      <x:c r="G67" s="225">
        <x:v>210</x:v>
      </x:c>
      <x:c r="H67" s="225">
        <x:f>F67*B67</x:f>
      </x:c>
      <x:c r="I67" s="225">
        <x:f>G67*B67</x:f>
      </x:c>
      <x:c r="J67" s="225">
        <x:f>F67*0.23*3*B67</x:f>
      </x:c>
      <x:c r="K67" s="225">
        <x:f>G67*0.23*3*B67</x:f>
      </x:c>
      <x:c r="M67" s="251"/>
      <x:c r="O67" s="27" t="s">
        <x:v>114</x:v>
      </x:c>
      <x:c r="P67" s="33">
        <x:v>0.641</x:v>
      </x:c>
      <x:c r="Q67" s="62">
        <x:v>0.085</x:v>
      </x:c>
      <x:c r="R67" s="34">
        <x:f>SQRT(P67^2+Q67^2)</x:f>
      </x:c>
      <x:c r="S67" s="33">
        <x:f>+P67*AD67/1000</x:f>
      </x:c>
      <x:c r="T67" s="62">
        <x:f>+AD67*Q67/1000</x:f>
      </x:c>
      <x:c r="U67" s="34"/>
      <x:c r="V67" s="63">
        <x:v>144</x:v>
      </x:c>
      <x:c r="W67" s="97">
        <x:f>IF(W58&lt;=V67+3,+AD67,"X")</x:f>
      </x:c>
      <x:c r="X67" s="97">
        <x:f>IF(X58&lt;=V67+3,+AD67,"X")</x:f>
      </x:c>
      <x:c r="Y67" s="97">
        <x:f>IF(Y58&lt;=V67+3,+AD67,"X")</x:f>
      </x:c>
      <x:c r="Z67" s="97">
        <x:f>IF(Z58&lt;=V67+3,+AD67,"X")</x:f>
      </x:c>
      <x:c r="AA67" s="97">
        <x:f>IF(AA58&lt;=V67+3,+AD67,"X")</x:f>
      </x:c>
      <x:c r="AB67" s="97">
        <x:f>IF(AB58&lt;=V67+3,+AD67,"X")</x:f>
      </x:c>
      <x:c r="AC67" s="97">
        <x:f>IF(AC58&lt;=V67+3,+AD67,"X")</x:f>
      </x:c>
      <x:c r="AD67" s="254"/>
      <x:c r="AE67" s="35" t="s">
        <x:v>114</x:v>
      </x:c>
      <x:c r="AF67" s="19"/>
      <x:c r="AG67" s="255">
        <x:f>IF(OR(W67=AD67,AND(AD67=0,W67="X")),"OK","niet OK")</x:f>
      </x:c>
      <x:c r="AH67" s="255">
        <x:f>IF(OR(X67=AD67,AND(AD67=0,X67="X")),"OK","niet OK")</x:f>
      </x:c>
      <x:c r="AI67" s="255">
        <x:f>IF(OR(Y67=AD67,AND(AD67=0,Y67="X")),"OK","niet OK")</x:f>
      </x:c>
      <x:c r="AJ67" s="255">
        <x:f>IF(OR(Z67=AD67,AND(AD67=0,Z67="X")),"OK","niet OK")</x:f>
      </x:c>
      <x:c r="AK67" s="255">
        <x:f>IF(OR(AA67=AD67,AND(AD67=0,AA67="X")),"OK","niet OK")</x:f>
      </x:c>
      <x:c r="AL67" s="255">
        <x:f>IF(OR(AB67=AD67,AND(AD67=0,AB67="X")),"OK","niet OK")</x:f>
      </x:c>
      <x:c r="AM67" s="255">
        <x:f>IF(OR(AC67=AD67,AND(AD67=0,AC67="X")),"OK","niet OK")</x:f>
      </x:c>
    </x:row>
    <x:row r="68" spans="1:39" x14ac:dyDescent="0.25">
      <x:c r="B68" s="249"/>
      <x:c r="F68" s="4"/>
      <x:c r="G68" s="4"/>
      <x:c r="H68" s="4"/>
      <x:c r="I68" s="4"/>
      <x:c r="J68" s="4"/>
      <x:c r="K68" s="4"/>
      <x:c r="M68" s="251"/>
      <x:c r="O68" s="27" t="s">
        <x:v>115</x:v>
      </x:c>
      <x:c r="P68" s="33">
        <x:v>0.868</x:v>
      </x:c>
      <x:c r="Q68" s="62">
        <x:v>0.101</x:v>
      </x:c>
      <x:c r="R68" s="34">
        <x:f>SQRT(P68^2+Q68^2)</x:f>
      </x:c>
      <x:c r="S68" s="33">
        <x:f>+P68*AD68/1000</x:f>
      </x:c>
      <x:c r="T68" s="62">
        <x:f>+AD68*Q68/1000</x:f>
      </x:c>
      <x:c r="U68" s="34"/>
      <x:c r="V68" s="63">
        <x:v>120</x:v>
      </x:c>
      <x:c r="W68" s="97">
        <x:f>IF(W58&lt;=V68+3,+AD68,"X")</x:f>
      </x:c>
      <x:c r="X68" s="97">
        <x:f>IF(X58&lt;=V68+3,+AD68,"X")</x:f>
      </x:c>
      <x:c r="Y68" s="97">
        <x:f>IF(Y58&lt;=V68+3,+AD68,"X")</x:f>
      </x:c>
      <x:c r="Z68" s="97">
        <x:f>IF(Z58&lt;=V68+3,+AD68,"X")</x:f>
      </x:c>
      <x:c r="AA68" s="97">
        <x:f>IF(AA58&lt;=V68+3,+AD68,"X")</x:f>
      </x:c>
      <x:c r="AB68" s="97">
        <x:f>IF(AB58&lt;=V68+3,+AD68,"X")</x:f>
      </x:c>
      <x:c r="AC68" s="97">
        <x:f>IF(AC58&lt;=V68+3,+AD68,"X")</x:f>
      </x:c>
      <x:c r="AD68" s="254"/>
      <x:c r="AE68" s="35" t="s">
        <x:v>115</x:v>
      </x:c>
      <x:c r="AF68" s="19"/>
      <x:c r="AG68" s="255">
        <x:f>IF(OR(W68=AD68,AND(AD68=0,W68="X")),"OK","niet OK")</x:f>
      </x:c>
      <x:c r="AH68" s="255">
        <x:f>IF(OR(X68=AD68,AND(AD68=0,X68="X")),"OK","niet OK")</x:f>
      </x:c>
      <x:c r="AI68" s="255">
        <x:f>IF(OR(Y68=AD68,AND(AD68=0,Y68="X")),"OK","niet OK")</x:f>
      </x:c>
      <x:c r="AJ68" s="255">
        <x:f>IF(OR(Z68=AD68,AND(AD68=0,Z68="X")),"OK","niet OK")</x:f>
      </x:c>
      <x:c r="AK68" s="255">
        <x:f>IF(OR(AA68=AD68,AND(AD68=0,AA68="X")),"OK","niet OK")</x:f>
      </x:c>
      <x:c r="AL68" s="255">
        <x:f>IF(OR(AB68=AD68,AND(AD68=0,AB68="X")),"OK","niet OK")</x:f>
      </x:c>
      <x:c r="AM68" s="255">
        <x:f>IF(OR(AC68=AD68,AND(AD68=0,AC68="X")),"OK","niet OK")</x:f>
      </x:c>
    </x:row>
    <x:row r="69" spans="1:39" x14ac:dyDescent="0.25">
      <x:c r="B69" s="249"/>
      <x:c r="C69" s="2" t="s">
        <x:v>53</x:v>
      </x:c>
      <x:c r="F69" s="4"/>
      <x:c r="G69" s="4"/>
      <x:c r="H69" s="4"/>
      <x:c r="I69" s="4"/>
      <x:c r="J69" s="4"/>
      <x:c r="K69" s="4"/>
      <x:c r="M69" s="251"/>
      <x:c r="O69" s="27" t="s">
        <x:v>116</x:v>
      </x:c>
      <x:c r="P69" s="33">
        <x:v>1.2</x:v>
      </x:c>
      <x:c r="Q69" s="62">
        <x:v>0.094</x:v>
      </x:c>
      <x:c r="R69" s="34">
        <x:f>SQRT(P69^2+Q69^2)</x:f>
      </x:c>
      <x:c r="S69" s="33">
        <x:f>+P69*AD69/1000</x:f>
      </x:c>
      <x:c r="T69" s="62">
        <x:f>+AD69*Q69/1000</x:f>
      </x:c>
      <x:c r="U69" s="34"/>
      <x:c r="V69" s="63">
        <x:v>100</x:v>
      </x:c>
      <x:c r="W69" s="97">
        <x:f>IF(W58&lt;=V69+3,+AD69,"X")</x:f>
      </x:c>
      <x:c r="X69" s="97">
        <x:f>IF(X58&lt;=V69+3,+AD69,"X")</x:f>
      </x:c>
      <x:c r="Y69" s="97">
        <x:f>IF(Y58&lt;=V69+3,+AD69,"X")</x:f>
      </x:c>
      <x:c r="Z69" s="97">
        <x:f>IF(Z58&lt;=V69+3,+AD69,"X")</x:f>
      </x:c>
      <x:c r="AA69" s="97">
        <x:f>IF(AA58&lt;=V69+3,+AD69,"X")</x:f>
      </x:c>
      <x:c r="AB69" s="97">
        <x:f>IF(AB58&lt;=V69+3,+AD69,"X")</x:f>
      </x:c>
      <x:c r="AC69" s="97">
        <x:f>IF(AC58&lt;=V69+3,+AD69,"X")</x:f>
      </x:c>
      <x:c r="AD69" s="254"/>
      <x:c r="AE69" s="35" t="s">
        <x:v>116</x:v>
      </x:c>
      <x:c r="AF69" s="19"/>
      <x:c r="AG69" s="255">
        <x:f>IF(OR(W69=AD69,AND(AD69=0,W69="X")),"OK","niet OK")</x:f>
      </x:c>
      <x:c r="AH69" s="255">
        <x:f>IF(OR(X69=AD69,AND(AD69=0,X69="X")),"OK","niet OK")</x:f>
      </x:c>
      <x:c r="AI69" s="255">
        <x:f>IF(OR(Y69=AD69,AND(AD69=0,Y69="X")),"OK","niet OK")</x:f>
      </x:c>
      <x:c r="AJ69" s="255">
        <x:f>IF(OR(Z69=AD69,AND(AD69=0,Z69="X")),"OK","niet OK")</x:f>
      </x:c>
      <x:c r="AK69" s="255">
        <x:f>IF(OR(AA69=AD69,AND(AD69=0,AA69="X")),"OK","niet OK")</x:f>
      </x:c>
      <x:c r="AL69" s="255">
        <x:f>IF(OR(AB69=AD69,AND(AD69=0,AB69="X")),"OK","niet OK")</x:f>
      </x:c>
      <x:c r="AM69" s="255">
        <x:f>IF(OR(AC69=AD69,AND(AD69=0,AC69="X")),"OK","niet OK")</x:f>
      </x:c>
    </x:row>
    <x:row r="70" spans="1:39" x14ac:dyDescent="0.25">
      <x:c r="B70" s="250"/>
      <x:c r="C70" s="0" t="s">
        <x:v>54</x:v>
      </x:c>
      <x:c r="F70" s="225">
        <x:v>4.8</x:v>
      </x:c>
      <x:c r="G70" s="226"/>
      <x:c r="H70" s="225">
        <x:f>F70*B70</x:f>
      </x:c>
      <x:c r="I70" s="226"/>
      <x:c r="J70" s="225">
        <x:f>F70*0.23*3*B70</x:f>
      </x:c>
      <x:c r="K70" s="226"/>
      <x:c r="M70" s="251"/>
      <x:c r="O70" s="27" t="s">
        <x:v>117</x:v>
      </x:c>
      <x:c r="P70" s="33">
        <x:v>1.91</x:v>
      </x:c>
      <x:c r="Q70" s="62">
        <x:v>0.096</x:v>
      </x:c>
      <x:c r="R70" s="34">
        <x:f>SQRT(P70^2+Q70^2)</x:f>
      </x:c>
      <x:c r="S70" s="33">
        <x:f>+P70*AD70/1000</x:f>
      </x:c>
      <x:c r="T70" s="62">
        <x:f>+AD70*Q70/1000</x:f>
      </x:c>
      <x:c r="U70" s="34"/>
      <x:c r="V70" s="63">
        <x:v>78</x:v>
      </x:c>
      <x:c r="W70" s="97">
        <x:f>IF(W58&lt;=V70+3,+AD70,"X")</x:f>
      </x:c>
      <x:c r="X70" s="97">
        <x:f>IF(X58&lt;=V70+3,+AD70,"X")</x:f>
      </x:c>
      <x:c r="Y70" s="97">
        <x:f>IF(Y58&lt;=V70+3,+AD70,"X")</x:f>
      </x:c>
      <x:c r="Z70" s="97">
        <x:f>IF(Z58&lt;=V70+3,+AD70,"X")</x:f>
      </x:c>
      <x:c r="AA70" s="97">
        <x:f>IF(AA58&lt;=V70+3,+AD70,"X")</x:f>
      </x:c>
      <x:c r="AB70" s="97">
        <x:f>IF(AB58&lt;=V70+3,+AD70,"X")</x:f>
      </x:c>
      <x:c r="AC70" s="97">
        <x:f>IF(AC58&lt;=V70+3,+AD70,"X")</x:f>
      </x:c>
      <x:c r="AD70" s="254"/>
      <x:c r="AE70" s="35" t="s">
        <x:v>117</x:v>
      </x:c>
      <x:c r="AF70" s="19"/>
      <x:c r="AG70" s="255">
        <x:f>IF(OR(W70=AD70,AND(AD70=0,W70="X")),"OK","niet OK")</x:f>
      </x:c>
      <x:c r="AH70" s="255">
        <x:f>IF(OR(X70=AD70,AND(AD70=0,X70="X")),"OK","niet OK")</x:f>
      </x:c>
      <x:c r="AI70" s="255">
        <x:f>IF(OR(Y70=AD70,AND(AD70=0,Y70="X")),"OK","niet OK")</x:f>
      </x:c>
      <x:c r="AJ70" s="255">
        <x:f>IF(OR(Z70=AD70,AND(AD70=0,Z70="X")),"OK","niet OK")</x:f>
      </x:c>
      <x:c r="AK70" s="255">
        <x:f>IF(OR(AA70=AD70,AND(AD70=0,AA70="X")),"OK","niet OK")</x:f>
      </x:c>
      <x:c r="AL70" s="255">
        <x:f>IF(OR(AB70=AD70,AND(AD70=0,AB70="X")),"OK","niet OK")</x:f>
      </x:c>
      <x:c r="AM70" s="255">
        <x:f>IF(OR(AC70=AD70,AND(AD70=0,AC70="X")),"OK","niet OK")</x:f>
      </x:c>
    </x:row>
    <x:row r="71" spans="1:39" x14ac:dyDescent="0.25">
      <x:c r="B71" s="249"/>
      <x:c r="M71" s="251"/>
      <x:c r="O71" s="27"/>
      <x:c r="P71" s="33"/>
      <x:c r="Q71" s="62"/>
      <x:c r="R71" s="34"/>
      <x:c r="S71" s="33"/>
      <x:c r="T71" s="62"/>
      <x:c r="U71" s="34"/>
      <x:c r="V71" s="63"/>
      <x:c r="W71" s="98"/>
      <x:c r="X71" s="98"/>
      <x:c r="Y71" s="98"/>
      <x:c r="Z71" s="98"/>
      <x:c r="AA71" s="98"/>
      <x:c r="AB71" s="98"/>
      <x:c r="AC71" s="98"/>
      <x:c r="AD71" s="254"/>
      <x:c r="AE71" s="35"/>
      <x:c r="AF71" s="19"/>
    </x:row>
    <x:row r="72" spans="1:39" x14ac:dyDescent="0.25">
      <x:c r="B72" s="249"/>
      <x:c r="C72" s="2" t="s">
        <x:v>55</x:v>
      </x:c>
      <x:c r="M72" s="251"/>
      <x:c r="O72" s="27" t="s">
        <x:v>118</x:v>
      </x:c>
      <x:c r="P72" s="33">
        <x:v>0.107</x:v>
      </x:c>
      <x:c r="Q72" s="62">
        <x:v>0.068</x:v>
      </x:c>
      <x:c r="R72" s="34">
        <x:f>SQRT(P72^2+Q72^2)</x:f>
      </x:c>
      <x:c r="S72" s="33">
        <x:f>+P72*AD72/1000</x:f>
      </x:c>
      <x:c r="T72" s="62">
        <x:f>+AD72*Q72/1000</x:f>
      </x:c>
      <x:c r="U72" s="34"/>
      <x:c r="V72" s="63">
        <x:v>393</x:v>
      </x:c>
      <x:c r="W72" s="97">
        <x:f>IF(W58&lt;=V72+3,+AD72,"X")</x:f>
      </x:c>
      <x:c r="X72" s="97">
        <x:f>IF(X58&lt;=V72+3,+AD72,"X")</x:f>
      </x:c>
      <x:c r="Y72" s="97">
        <x:f>IF(Y58&lt;=V72+3,+AD72,"X")</x:f>
      </x:c>
      <x:c r="Z72" s="97">
        <x:f>IF(Z58&lt;=V72+3,+AD72,"X")</x:f>
      </x:c>
      <x:c r="AA72" s="97">
        <x:f>IF(AA58&lt;=V72+3,+AD72,"X")</x:f>
      </x:c>
      <x:c r="AB72" s="97">
        <x:f>IF(AB58&lt;=V72+3,+AD72,"X")</x:f>
      </x:c>
      <x:c r="AC72" s="97">
        <x:f>IF(AC58&lt;=V72+3,+AD72,"X")</x:f>
      </x:c>
      <x:c r="AD72" s="254"/>
      <x:c r="AE72" s="35" t="s">
        <x:v>118</x:v>
      </x:c>
      <x:c r="AF72" s="19"/>
      <x:c r="AG72" s="255">
        <x:f>IF(OR(W72=AD72,AND(AD72=0,W72="X")),"OK","niet OK")</x:f>
      </x:c>
      <x:c r="AH72" s="255">
        <x:f>IF(OR(X72=AD72,AND(AD72=0,X72="X")),"OK","niet OK")</x:f>
      </x:c>
      <x:c r="AI72" s="255">
        <x:f>IF(OR(Y72=AD72,AND(AD72=0,Y72="X")),"OK","niet OK")</x:f>
      </x:c>
      <x:c r="AJ72" s="255">
        <x:f>IF(OR(Z72=AD72,AND(AD72=0,Z72="X")),"OK","niet OK")</x:f>
      </x:c>
      <x:c r="AK72" s="255">
        <x:f>IF(OR(AA72=AD72,AND(AD72=0,AA72="X")),"OK","niet OK")</x:f>
      </x:c>
      <x:c r="AL72" s="255">
        <x:f>IF(OR(AB72=AD72,AND(AD72=0,AB72="X")),"OK","niet OK")</x:f>
      </x:c>
      <x:c r="AM72" s="255">
        <x:f>IF(OR(AC72=AD72,AND(AD72=0,AC72="X")),"OK","niet OK")</x:f>
      </x:c>
    </x:row>
    <x:row r="73" spans="1:39" x14ac:dyDescent="0.25">
      <x:c r="B73" s="250"/>
      <x:c r="C73" s="0" t="s">
        <x:v>56</x:v>
      </x:c>
      <x:c r="F73" s="225">
        <x:v>5.8</x:v>
      </x:c>
      <x:c r="G73" s="226"/>
      <x:c r="H73" s="225">
        <x:f>F73*B73</x:f>
      </x:c>
      <x:c r="I73" s="226"/>
      <x:c r="J73" s="225">
        <x:f>F73*0.23*3*B73</x:f>
      </x:c>
      <x:c r="K73" s="226"/>
      <x:c r="M73" s="251"/>
      <x:c r="O73" s="27" t="s">
        <x:v>119</x:v>
      </x:c>
      <x:c r="P73" s="33">
        <x:v>0.125</x:v>
      </x:c>
      <x:c r="Q73" s="62">
        <x:v>0.068</x:v>
      </x:c>
      <x:c r="R73" s="34">
        <x:f>SQRT(P73^2+Q73^2)</x:f>
      </x:c>
      <x:c r="S73" s="33">
        <x:f>+P73*AD73/1000</x:f>
      </x:c>
      <x:c r="T73" s="62">
        <x:f>+AD73*Q73/1000</x:f>
      </x:c>
      <x:c r="U73" s="34"/>
      <x:c r="V73" s="63">
        <x:v>348</x:v>
      </x:c>
      <x:c r="W73" s="97">
        <x:f>IF(W58&lt;=V73+3,+AD73,"X")</x:f>
      </x:c>
      <x:c r="X73" s="97">
        <x:f>IF(X58&lt;=V73+3,+AD73,"X")</x:f>
      </x:c>
      <x:c r="Y73" s="97">
        <x:f>IF(Y58&lt;=V73+3,+AD73,"X")</x:f>
      </x:c>
      <x:c r="Z73" s="97">
        <x:f>IF(Z58&lt;=V73+3,+AD73,"X")</x:f>
      </x:c>
      <x:c r="AA73" s="97">
        <x:f>IF(AA58&lt;=V73+3,+AD73,"X")</x:f>
      </x:c>
      <x:c r="AB73" s="97">
        <x:f>IF(AB58&lt;=V73+3,+AD73,"X")</x:f>
      </x:c>
      <x:c r="AC73" s="97">
        <x:f>IF(AC58&lt;=V73+3,+AD73,"X")</x:f>
      </x:c>
      <x:c r="AD73" s="254"/>
      <x:c r="AE73" s="35" t="s">
        <x:v>119</x:v>
      </x:c>
      <x:c r="AF73" s="19"/>
      <x:c r="AG73" s="255">
        <x:f>IF(OR(W73=AD73,AND(AD73=0,W73="X")),"OK","niet OK")</x:f>
      </x:c>
      <x:c r="AH73" s="255">
        <x:f>IF(OR(X73=AD73,AND(AD73=0,X73="X")),"OK","niet OK")</x:f>
      </x:c>
      <x:c r="AI73" s="255">
        <x:f>IF(OR(Y73=AD73,AND(AD73=0,Y73="X")),"OK","niet OK")</x:f>
      </x:c>
      <x:c r="AJ73" s="255">
        <x:f>IF(OR(Z73=AD73,AND(AD73=0,Z73="X")),"OK","niet OK")</x:f>
      </x:c>
      <x:c r="AK73" s="255">
        <x:f>IF(OR(AA73=AD73,AND(AD73=0,AA73="X")),"OK","niet OK")</x:f>
      </x:c>
      <x:c r="AL73" s="255">
        <x:f>IF(OR(AB73=AD73,AND(AD73=0,AB73="X")),"OK","niet OK")</x:f>
      </x:c>
      <x:c r="AM73" s="255">
        <x:f>IF(OR(AC73=AD73,AND(AD73=0,AC73="X")),"OK","niet OK")</x:f>
      </x:c>
    </x:row>
    <x:row r="74" spans="1:39" x14ac:dyDescent="0.25">
      <x:c r="B74" s="250"/>
      <x:c r="C74" s="0" t="s">
        <x:v>57</x:v>
      </x:c>
      <x:c r="F74" s="225">
        <x:v>22</x:v>
      </x:c>
      <x:c r="G74" s="226"/>
      <x:c r="H74" s="225">
        <x:f>F74*B74</x:f>
      </x:c>
      <x:c r="I74" s="226"/>
      <x:c r="J74" s="225">
        <x:f>F74*0.23*3*B74</x:f>
      </x:c>
      <x:c r="K74" s="226"/>
      <x:c r="M74" s="251"/>
      <x:c r="O74" s="27" t="s">
        <x:v>120</x:v>
      </x:c>
      <x:c r="P74" s="33">
        <x:v>0.152</x:v>
      </x:c>
      <x:c r="Q74" s="62">
        <x:v>0.069</x:v>
      </x:c>
      <x:c r="R74" s="34">
        <x:v>0.16692812824686</x:v>
      </x:c>
      <x:c r="S74" s="33">
        <x:f>+P74*AD74/1000</x:f>
      </x:c>
      <x:c r="T74" s="62">
        <x:f>+AD74*Q74/1000</x:f>
      </x:c>
      <x:c r="U74" s="34"/>
      <x:c r="V74" s="63">
        <x:v>307</x:v>
      </x:c>
      <x:c r="W74" s="97">
        <x:f>IF(W58&lt;=V74+3,+AD74,"X")</x:f>
      </x:c>
      <x:c r="X74" s="97">
        <x:f>IF(X58&lt;=V74+3,+AD74,"X")</x:f>
      </x:c>
      <x:c r="Y74" s="97">
        <x:f>IF(Y58&lt;=V74+3,+AD74,"X")</x:f>
      </x:c>
      <x:c r="Z74" s="97">
        <x:f>IF(Z58&lt;=V74+3,+AD74,"X")</x:f>
      </x:c>
      <x:c r="AA74" s="97">
        <x:f>IF(AA58&lt;=V74+3,+AD74,"X")</x:f>
      </x:c>
      <x:c r="AB74" s="97">
        <x:f>IF(AB58&lt;=V74+3,+AD74,"X")</x:f>
      </x:c>
      <x:c r="AC74" s="97">
        <x:f>IF(AC58&lt;=V74+3,+AD74,"X")</x:f>
      </x:c>
      <x:c r="AD74" s="254"/>
      <x:c r="AE74" s="35" t="s">
        <x:v>120</x:v>
      </x:c>
      <x:c r="AF74" s="19"/>
      <x:c r="AG74" s="255">
        <x:f>IF(OR(W74=AD74,AND(AD74=0,W74="X")),"OK","niet OK")</x:f>
      </x:c>
      <x:c r="AH74" s="255">
        <x:f>IF(OR(X74=AD74,AND(AD74=0,X74="X")),"OK","niet OK")</x:f>
      </x:c>
      <x:c r="AI74" s="255">
        <x:f>IF(OR(Y74=AD74,AND(AD74=0,Y74="X")),"OK","niet OK")</x:f>
      </x:c>
      <x:c r="AJ74" s="255">
        <x:f>IF(OR(Z74=AD74,AND(AD74=0,Z74="X")),"OK","niet OK")</x:f>
      </x:c>
      <x:c r="AK74" s="255">
        <x:f>IF(OR(AA74=AD74,AND(AD74=0,AA74="X")),"OK","niet OK")</x:f>
      </x:c>
      <x:c r="AL74" s="255">
        <x:f>IF(OR(AB74=AD74,AND(AD74=0,AB74="X")),"OK","niet OK")</x:f>
      </x:c>
      <x:c r="AM74" s="255">
        <x:f>IF(OR(AC74=AD74,AND(AD74=0,AC74="X")),"OK","niet OK")</x:f>
      </x:c>
    </x:row>
    <x:row r="75" spans="1:39" x14ac:dyDescent="0.25">
      <x:c r="B75" s="250"/>
      <x:c r="C75" s="0" t="s">
        <x:v>58</x:v>
      </x:c>
      <x:c r="F75" s="225">
        <x:v>36</x:v>
      </x:c>
      <x:c r="G75" s="226"/>
      <x:c r="H75" s="225">
        <x:f>F75*B75</x:f>
      </x:c>
      <x:c r="I75" s="226"/>
      <x:c r="J75" s="225">
        <x:f>F75*0.23*3*B75</x:f>
      </x:c>
      <x:c r="K75" s="226"/>
      <x:c r="M75" s="251"/>
      <x:c r="O75" s="27" t="s">
        <x:v>121</x:v>
      </x:c>
      <x:c r="P75" s="33">
        <x:v>0.194</x:v>
      </x:c>
      <x:c r="Q75" s="62">
        <x:v>0.069</x:v>
      </x:c>
      <x:c r="R75" s="34">
        <x:f>SQRT(P75^2+Q75^2)</x:f>
      </x:c>
      <x:c r="S75" s="33">
        <x:f>+P75*AD75/1000</x:f>
      </x:c>
      <x:c r="T75" s="62">
        <x:f>+AD75*Q75/1000</x:f>
      </x:c>
      <x:c r="U75" s="34"/>
      <x:c r="V75" s="63">
        <x:v>272</x:v>
      </x:c>
      <x:c r="W75" s="97">
        <x:f>IF(W58&lt;=V75+3,+AD75,"X")</x:f>
      </x:c>
      <x:c r="X75" s="97">
        <x:f>IF(X58&lt;=V75+3,+AD75,"X")</x:f>
      </x:c>
      <x:c r="Y75" s="97">
        <x:f>IF(Y58&lt;=V75+3,+AD75,"X")</x:f>
      </x:c>
      <x:c r="Z75" s="97">
        <x:f>IF(Z58&lt;=V75+3,+AD75,"X")</x:f>
      </x:c>
      <x:c r="AA75" s="97">
        <x:f>IF(AA58&lt;=V75+3,+AD75,"X")</x:f>
      </x:c>
      <x:c r="AB75" s="97">
        <x:f>IF(AB58&lt;=V75+3,+AD75,"X")</x:f>
      </x:c>
      <x:c r="AC75" s="97">
        <x:f>IF(AC58&lt;=V75+3,+AD75,"X")</x:f>
      </x:c>
      <x:c r="AD75" s="254"/>
      <x:c r="AE75" s="35" t="s">
        <x:v>121</x:v>
      </x:c>
      <x:c r="AF75" s="19"/>
      <x:c r="AG75" s="255">
        <x:f>IF(OR(W75=AD75,AND(AD75=0,W75="X")),"OK","niet OK")</x:f>
      </x:c>
      <x:c r="AH75" s="255">
        <x:f>IF(OR(X75=AD75,AND(AD75=0,X75="X")),"OK","niet OK")</x:f>
      </x:c>
      <x:c r="AI75" s="255">
        <x:f>IF(OR(Y75=AD75,AND(AD75=0,Y75="X")),"OK","niet OK")</x:f>
      </x:c>
      <x:c r="AJ75" s="255">
        <x:f>IF(OR(Z75=AD75,AND(AD75=0,Z75="X")),"OK","niet OK")</x:f>
      </x:c>
      <x:c r="AK75" s="255">
        <x:f>IF(OR(AA75=AD75,AND(AD75=0,AA75="X")),"OK","niet OK")</x:f>
      </x:c>
      <x:c r="AL75" s="255">
        <x:f>IF(OR(AB75=AD75,AND(AD75=0,AB75="X")),"OK","niet OK")</x:f>
      </x:c>
      <x:c r="AM75" s="255">
        <x:f>IF(OR(AC75=AD75,AND(AD75=0,AC75="X")),"OK","niet OK")</x:f>
      </x:c>
    </x:row>
    <x:row r="76" spans="1:39" x14ac:dyDescent="0.25">
      <x:c r="O76" s="27" t="s">
        <x:v>122</x:v>
      </x:c>
      <x:c r="P76" s="33">
        <x:v>0.268</x:v>
      </x:c>
      <x:c r="Q76" s="62">
        <x:v>0.072</x:v>
      </x:c>
      <x:c r="R76" s="34">
        <x:f>SQRT(P76^2+Q76^2)</x:f>
      </x:c>
      <x:c r="S76" s="33">
        <x:f>+P76*AD76/1000</x:f>
      </x:c>
      <x:c r="T76" s="62">
        <x:f>+AD76*Q76/1000</x:f>
      </x:c>
      <x:c r="U76" s="34"/>
      <x:c r="V76" s="63">
        <x:v>227</x:v>
      </x:c>
      <x:c r="W76" s="97">
        <x:f>IF(W58&lt;=V76+3,+AD76,"X")</x:f>
      </x:c>
      <x:c r="X76" s="97">
        <x:f>IF(X58&lt;=V76+3,+AD76,"X")</x:f>
      </x:c>
      <x:c r="Y76" s="97">
        <x:f>IF(Y58&lt;=V76+3,+AD76,"X")</x:f>
      </x:c>
      <x:c r="Z76" s="97">
        <x:f>IF(Z58&lt;=V76+3,+AD76,"X")</x:f>
      </x:c>
      <x:c r="AA76" s="97">
        <x:f>IF(AA58&lt;=V76+3,+AD76,"X")</x:f>
      </x:c>
      <x:c r="AB76" s="97">
        <x:f>IF(AB58&lt;=V76+3,+AD76,"X")</x:f>
      </x:c>
      <x:c r="AC76" s="97">
        <x:f>IF(AC58&lt;=V76+3,+AD76,"X")</x:f>
      </x:c>
      <x:c r="AD76" s="254"/>
      <x:c r="AE76" s="35" t="s">
        <x:v>122</x:v>
      </x:c>
      <x:c r="AF76" s="19"/>
      <x:c r="AG76" s="255">
        <x:f>IF(OR(W76=AD76,AND(AD76=0,W76="X")),"OK","niet OK")</x:f>
      </x:c>
      <x:c r="AH76" s="255">
        <x:f>IF(OR(X76=AD76,AND(AD76=0,X76="X")),"OK","niet OK")</x:f>
      </x:c>
      <x:c r="AI76" s="255">
        <x:f>IF(OR(Y76=AD76,AND(AD76=0,Y76="X")),"OK","niet OK")</x:f>
      </x:c>
      <x:c r="AJ76" s="255">
        <x:f>IF(OR(Z76=AD76,AND(AD76=0,Z76="X")),"OK","niet OK")</x:f>
      </x:c>
      <x:c r="AK76" s="255">
        <x:f>IF(OR(AA76=AD76,AND(AD76=0,AA76="X")),"OK","niet OK")</x:f>
      </x:c>
      <x:c r="AL76" s="255">
        <x:f>IF(OR(AB76=AD76,AND(AD76=0,AB76="X")),"OK","niet OK")</x:f>
      </x:c>
      <x:c r="AM76" s="255">
        <x:f>IF(OR(AC76=AD76,AND(AD76=0,AC76="X")),"OK","niet OK")</x:f>
      </x:c>
    </x:row>
    <x:row r="77" spans="1:39" ht="15.75" customHeight="1" x14ac:dyDescent="0.25">
      <x:c r="B77" s="165"/>
      <x:c r="C77" s="73" t="s">
        <x:v>134</x:v>
      </x:c>
      <x:c r="D77" s="230">
        <x:f>MAX(SUM(H5:H75),SUM(I5:I75))</x:f>
      </x:c>
      <x:c r="F77" s="54"/>
      <x:c r="O77" s="27" t="s">
        <x:v>123</x:v>
      </x:c>
      <x:c r="P77" s="33">
        <x:v>0.387</x:v>
      </x:c>
      <x:c r="Q77" s="62">
        <x:v>0.085</x:v>
      </x:c>
      <x:c r="R77" s="34">
        <x:f>SQRT(P77^2+Q77^2)</x:f>
      </x:c>
      <x:c r="S77" s="33">
        <x:f>+P77*AD77/1000</x:f>
      </x:c>
      <x:c r="T77" s="62">
        <x:f>+AD77*Q77/1000</x:f>
      </x:c>
      <x:c r="U77" s="34"/>
      <x:c r="V77" s="63">
        <x:v>182</x:v>
      </x:c>
      <x:c r="W77" s="97">
        <x:f>IF(W58&lt;=V77+3,+AD77,"X")</x:f>
      </x:c>
      <x:c r="X77" s="97">
        <x:f>IF(X58&lt;=V77+3,+AD77,"X")</x:f>
      </x:c>
      <x:c r="Y77" s="97">
        <x:f>IF(Y58&lt;=V77+3,+AD77,"X")</x:f>
      </x:c>
      <x:c r="Z77" s="97">
        <x:f>IF(Z58&lt;=V77+3,+AD77,"X")</x:f>
      </x:c>
      <x:c r="AA77" s="97">
        <x:f>IF(AA58&lt;=V77+3,+AD77,"X")</x:f>
      </x:c>
      <x:c r="AB77" s="97">
        <x:f>IF(AB58&lt;=V77+3,+AD77,"X")</x:f>
      </x:c>
      <x:c r="AC77" s="97">
        <x:f>IF(AC58&lt;=V77+3,+AD77,"X")</x:f>
      </x:c>
      <x:c r="AD77" s="254"/>
      <x:c r="AE77" s="35" t="s">
        <x:v>123</x:v>
      </x:c>
      <x:c r="AF77" s="19"/>
      <x:c r="AG77" s="255">
        <x:f>IF(OR(W77=AD77,AND(AD77=0,W77="X")),"OK","niet OK")</x:f>
      </x:c>
      <x:c r="AH77" s="255">
        <x:f>IF(OR(X77=AD77,AND(AD77=0,X77="X")),"OK","niet OK")</x:f>
      </x:c>
      <x:c r="AI77" s="255">
        <x:f>IF(OR(Y77=AD77,AND(AD77=0,Y77="X")),"OK","niet OK")</x:f>
      </x:c>
      <x:c r="AJ77" s="255">
        <x:f>IF(OR(Z77=AD77,AND(AD77=0,Z77="X")),"OK","niet OK")</x:f>
      </x:c>
      <x:c r="AK77" s="255">
        <x:f>IF(OR(AA77=AD77,AND(AD77=0,AA77="X")),"OK","niet OK")</x:f>
      </x:c>
      <x:c r="AL77" s="255">
        <x:f>IF(OR(AB77=AD77,AND(AD77=0,AB77="X")),"OK","niet OK")</x:f>
      </x:c>
      <x:c r="AM77" s="255">
        <x:f>IF(OR(AC77=AD77,AND(AD77=0,AC77="X")),"OK","niet OK")</x:f>
      </x:c>
    </x:row>
    <x:row r="78" spans="1:39" x14ac:dyDescent="0.25">
      <x:c r="O78" s="27" t="s">
        <x:v>124</x:v>
      </x:c>
      <x:c r="P78" s="33">
        <x:v>0.524</x:v>
      </x:c>
      <x:c r="Q78" s="62">
        <x:v>0.1</x:v>
      </x:c>
      <x:c r="R78" s="34">
        <x:f>SQRT(P78^2+Q78^2)</x:f>
      </x:c>
      <x:c r="S78" s="33">
        <x:f>+P78*AD78/1000</x:f>
      </x:c>
      <x:c r="T78" s="62">
        <x:f>+AD78*Q78/1000</x:f>
      </x:c>
      <x:c r="U78" s="34"/>
      <x:c r="V78" s="63">
        <x:v>154</x:v>
      </x:c>
      <x:c r="W78" s="97">
        <x:f>IF(W58&lt;=V78+3,+AD78,"X")</x:f>
      </x:c>
      <x:c r="X78" s="97">
        <x:f>IF(X58&lt;=V78+3,+AD78,"X")</x:f>
      </x:c>
      <x:c r="Y78" s="97">
        <x:f>IF(Y58&lt;=V78+3,+AD78,"X")</x:f>
      </x:c>
      <x:c r="Z78" s="97">
        <x:f>IF(Z58&lt;=V78+3,+AD78,"X")</x:f>
      </x:c>
      <x:c r="AA78" s="97">
        <x:f>IF(AA58&lt;=V78+3,+AD78,"X")</x:f>
      </x:c>
      <x:c r="AB78" s="97">
        <x:f>IF(AB58&lt;=V78+3,+AD78,"X")</x:f>
      </x:c>
      <x:c r="AC78" s="97">
        <x:f>IF(AC58&lt;=V78+3,+AD78,"X")</x:f>
      </x:c>
      <x:c r="AD78" s="254"/>
      <x:c r="AE78" s="35" t="s">
        <x:v>124</x:v>
      </x:c>
      <x:c r="AF78" s="19"/>
      <x:c r="AG78" s="255">
        <x:f>IF(OR(W78=AD78,AND(AD78=0,W78="X")),"OK","niet OK")</x:f>
      </x:c>
      <x:c r="AH78" s="255">
        <x:f>IF(OR(X78=AD78,AND(AD78=0,X78="X")),"OK","niet OK")</x:f>
      </x:c>
      <x:c r="AI78" s="255">
        <x:f>IF(OR(Y78=AD78,AND(AD78=0,Y78="X")),"OK","niet OK")</x:f>
      </x:c>
      <x:c r="AJ78" s="255">
        <x:f>IF(OR(Z78=AD78,AND(AD78=0,Z78="X")),"OK","niet OK")</x:f>
      </x:c>
      <x:c r="AK78" s="255">
        <x:f>IF(OR(AA78=AD78,AND(AD78=0,AA78="X")),"OK","niet OK")</x:f>
      </x:c>
      <x:c r="AL78" s="255">
        <x:f>IF(OR(AB78=AD78,AND(AD78=0,AB78="X")),"OK","niet OK")</x:f>
      </x:c>
      <x:c r="AM78" s="255">
        <x:f>IF(OR(AC78=AD78,AND(AD78=0,AC78="X")),"OK","niet OK")</x:f>
      </x:c>
    </x:row>
    <x:row r="79" spans="1:39" ht="18.75" customHeight="1" x14ac:dyDescent="0.25">
      <x:c r="D79" s="154" t="s">
        <x:v>135</x:v>
      </x:c>
      <x:c r="O79" s="27" t="s">
        <x:v>125</x:v>
      </x:c>
      <x:c r="P79" s="33">
        <x:v>0.727</x:v>
      </x:c>
      <x:c r="Q79" s="62">
        <x:v>0.094</x:v>
      </x:c>
      <x:c r="R79" s="34">
        <x:f>SQRT(P79^2+Q79^2)</x:f>
      </x:c>
      <x:c r="S79" s="33">
        <x:f>+P79*AD79/1000</x:f>
      </x:c>
      <x:c r="T79" s="62">
        <x:f>+AD79*Q79/1000</x:f>
      </x:c>
      <x:c r="U79" s="34"/>
      <x:c r="V79" s="63">
        <x:v>128</x:v>
      </x:c>
      <x:c r="W79" s="97">
        <x:f>IF(W58&lt;=V79+3,+AD79,"X")</x:f>
      </x:c>
      <x:c r="X79" s="97">
        <x:f>IF(X58&lt;=V79+3,+AD79,"X")</x:f>
      </x:c>
      <x:c r="Y79" s="97">
        <x:f>IF(Y58&lt;=V79+3,+AD79,"X")</x:f>
      </x:c>
      <x:c r="Z79" s="97">
        <x:f>IF(Z58&lt;=V79+3,+AD79,"X")</x:f>
      </x:c>
      <x:c r="AA79" s="97">
        <x:f>IF(AA58&lt;=V79+3,+AD79,"X")</x:f>
      </x:c>
      <x:c r="AB79" s="97">
        <x:f>IF(AB58&lt;=V79+3,+AD79,"X")</x:f>
      </x:c>
      <x:c r="AC79" s="97">
        <x:f>IF(AC58&lt;=V79+3,+AD79,"X")</x:f>
      </x:c>
      <x:c r="AD79" s="254"/>
      <x:c r="AE79" s="35" t="s">
        <x:v>125</x:v>
      </x:c>
      <x:c r="AF79" s="19"/>
      <x:c r="AG79" s="255">
        <x:f>IF(OR(W79=AD79,AND(AD79=0,W79="X")),"OK","niet OK")</x:f>
      </x:c>
      <x:c r="AH79" s="255">
        <x:f>IF(OR(X79=AD79,AND(AD79=0,X79="X")),"OK","niet OK")</x:f>
      </x:c>
      <x:c r="AI79" s="255">
        <x:f>IF(OR(Y79=AD79,AND(AD79=0,Y79="X")),"OK","niet OK")</x:f>
      </x:c>
      <x:c r="AJ79" s="255">
        <x:f>IF(OR(Z79=AD79,AND(AD79=0,Z79="X")),"OK","niet OK")</x:f>
      </x:c>
      <x:c r="AK79" s="255">
        <x:f>IF(OR(AA79=AD79,AND(AD79=0,AA79="X")),"OK","niet OK")</x:f>
      </x:c>
      <x:c r="AL79" s="255">
        <x:f>IF(OR(AB79=AD79,AND(AD79=0,AB79="X")),"OK","niet OK")</x:f>
      </x:c>
      <x:c r="AM79" s="255">
        <x:f>IF(OR(AC79=AD79,AND(AD79=0,AC79="X")),"OK","niet OK")</x:f>
      </x:c>
    </x:row>
    <x:row r="80" spans="1:39" x14ac:dyDescent="0.25">
      <x:c r="O80" s="36" t="s">
        <x:v>126</x:v>
      </x:c>
      <x:c r="P80" s="37">
        <x:v>1.15</x:v>
      </x:c>
      <x:c r="Q80" s="38">
        <x:v>0.097</x:v>
      </x:c>
      <x:c r="R80" s="39">
        <x:f>SQRT(P80^2+Q80^2)</x:f>
      </x:c>
      <x:c r="S80" s="37">
        <x:f>+P80*AD80/1000</x:f>
      </x:c>
      <x:c r="T80" s="38">
        <x:f>+AD80*Q80/1000</x:f>
      </x:c>
      <x:c r="U80" s="39"/>
      <x:c r="V80" s="64">
        <x:v>99</x:v>
      </x:c>
      <x:c r="W80" s="100">
        <x:f>IF(W58&lt;=V80+3,+AD80,"X")</x:f>
      </x:c>
      <x:c r="X80" s="100">
        <x:f>IF(X58&lt;=V80+3,+AD80,"X")</x:f>
      </x:c>
      <x:c r="Y80" s="100">
        <x:f>IF(Y58&lt;=V80+3,+AD80,"X")</x:f>
      </x:c>
      <x:c r="Z80" s="100">
        <x:f>IF(Z58&lt;=V80+3,+AD80,"X")</x:f>
      </x:c>
      <x:c r="AA80" s="100">
        <x:f>IF(AA58&lt;=V80+3,+AD80,"X")</x:f>
      </x:c>
      <x:c r="AB80" s="100">
        <x:f>IF(AB58&lt;=V80+3,+AD80,"X")</x:f>
      </x:c>
      <x:c r="AC80" s="100">
        <x:f>IF(AC58&lt;=V80+3,+AD80,"X")</x:f>
      </x:c>
      <x:c r="AD80" s="271"/>
      <x:c r="AE80" s="40" t="s">
        <x:v>126</x:v>
      </x:c>
      <x:c r="AF80" s="19"/>
      <x:c r="AG80" s="255">
        <x:f>IF(OR(W80=AD80,AND(AD80=0,W80="X")),"OK","niet OK")</x:f>
      </x:c>
      <x:c r="AH80" s="255">
        <x:f>IF(OR(X80=AD80,AND(AD80=0,X80="X")),"OK","niet OK")</x:f>
      </x:c>
      <x:c r="AI80" s="255">
        <x:f>IF(OR(Y80=AD80,AND(AD80=0,Y80="X")),"OK","niet OK")</x:f>
      </x:c>
      <x:c r="AJ80" s="255">
        <x:f>IF(OR(Z80=AD80,AND(AD80=0,Z80="X")),"OK","niet OK")</x:f>
      </x:c>
      <x:c r="AK80" s="255">
        <x:f>IF(OR(AA80=AD80,AND(AD80=0,AA80="X")),"OK","niet OK")</x:f>
      </x:c>
      <x:c r="AL80" s="255">
        <x:f>IF(OR(AB80=AD80,AND(AD80=0,AB80="X")),"OK","niet OK")</x:f>
      </x:c>
      <x:c r="AM80" s="255">
        <x:f>IF(OR(AC80=AD80,AND(AD80=0,AC80="X")),"OK","niet OK")</x:f>
      </x:c>
    </x:row>
    <x:row r="81" spans="1:39" x14ac:dyDescent="0.25">
      <x:c r="O81" s="41"/>
      <x:c r="V81" s="65"/>
      <x:c r="W81" s="131"/>
      <x:c r="X81" s="131"/>
      <x:c r="Y81" s="131"/>
      <x:c r="Z81" s="131"/>
      <x:c r="AA81" s="131"/>
      <x:c r="AB81" s="131"/>
      <x:c r="AC81" s="132"/>
      <x:c r="AE81" s="35"/>
    </x:row>
    <x:row r="82" spans="1:39" x14ac:dyDescent="0.25">
      <x:c r="O82" s="258" t="s">
        <x:v>127</x:v>
      </x:c>
      <x:c r="P82" s="259"/>
      <x:c r="Q82" s="259"/>
      <x:c r="R82" s="259"/>
      <x:c r="S82" s="260">
        <x:f>SUM(S62:S81)</x:f>
      </x:c>
      <x:c r="T82" s="260">
        <x:f>SUM(T62:T81)</x:f>
      </x:c>
      <x:c r="U82" s="260">
        <x:f>SQRT(S82^2+T82^2)</x:f>
      </x:c>
      <x:c r="V82" s="65"/>
      <x:c r="W82" s="3">
        <x:f>IF(U82&lt;=W60,"OK","niet OK")</x:f>
      </x:c>
      <x:c r="X82" s="3">
        <x:f>IF(U82&lt;=X60,"OK","niet OK")</x:f>
      </x:c>
      <x:c r="Y82" s="3">
        <x:f>IF(U82&lt;=Y60,"OK","niet OK")</x:f>
      </x:c>
      <x:c r="Z82" s="3">
        <x:f>IF(U82&lt;=Z60,"OK","niet OK")</x:f>
      </x:c>
      <x:c r="AA82" s="3">
        <x:f>IF(U82&lt;=AA60,"OK","niet OK")</x:f>
      </x:c>
      <x:c r="AB82" s="3">
        <x:f>IF(U82&lt;=AB60,"OK","niet OK")</x:f>
      </x:c>
      <x:c r="AC82" s="94">
        <x:f>IF(U82&lt;=AC60,"OK","niet OK")</x:f>
      </x:c>
      <x:c r="AD82" s="261" t="s">
        <x:v>128</x:v>
      </x:c>
      <x:c r="AE82" s="262"/>
    </x:row>
    <x:row r="83" spans="1:39" x14ac:dyDescent="0.25">
      <x:c r="O83" s="41"/>
      <x:c r="V83" s="65"/>
      <x:c r="W83" s="3">
        <x:f>IF(U82&lt;=W61,"OK","niet OK")</x:f>
      </x:c>
      <x:c r="X83" s="3">
        <x:f>IF(U82&lt;=X61,"OK","niet OK")</x:f>
      </x:c>
      <x:c r="Y83" s="3">
        <x:f>IF(U82&lt;=Y61,"OK","niet OK")</x:f>
      </x:c>
      <x:c r="Z83" s="3">
        <x:f>IF(U82&lt;=Z61,"OK","niet OK")</x:f>
      </x:c>
      <x:c r="AA83" s="3">
        <x:f>IF(U82&lt;=AA61,"OK","niet OK")</x:f>
      </x:c>
      <x:c r="AB83" s="3">
        <x:f>IF(U82&lt;=AB61,"OK","niet OK")</x:f>
      </x:c>
      <x:c r="AC83" s="94">
        <x:f>IF(U82&lt;=AC61,"OK","niet OK")</x:f>
      </x:c>
      <x:c r="AD83" s="261" t="s">
        <x:v>129</x:v>
      </x:c>
      <x:c r="AE83" s="262"/>
    </x:row>
    <x:row r="84" spans="1:39" x14ac:dyDescent="0.25">
      <x:c r="O84" s="41"/>
      <x:c r="P84" s="68"/>
      <x:c r="Q84" s="68"/>
      <x:c r="R84" s="62"/>
      <x:c r="S84" s="62"/>
      <x:c r="T84" s="62"/>
      <x:c r="U84" s="62"/>
      <x:c r="V84" s="65"/>
      <x:c r="W84" s="3">
        <x:f>IF(AND(AG62="OK",AG63="OK",AG64="OK",AG65="OK",AG66="OK",AG67="OK",AG68="OK",AG69="OK",AG70="OK",AG72="OK",AG73="OK",AG75="OK",AG76="OK",AG77="OK",AG78="OK",AG79="OK",AG80="OK"),"OK","niet OK")</x:f>
      </x:c>
      <x:c r="X84" s="3">
        <x:f>IF(AND(AH62="OK",AH63="OK",AH64="OK",AH65="OK",AH66="OK",AH67="OK",AH68="OK",AH69="OK",AH70="OK",AH72="OK",AH73="OK",AH75="OK",AH76="OK",AH77="OK",AH78="OK",AH79="OK",AH80="OK"),"OK","niet OK")</x:f>
      </x:c>
      <x:c r="Y84" s="3">
        <x:f>IF(AND(AI62="OK",AI63="OK",AI64="OK",AI65="OK",AI66="OK",AI67="OK",AI68="OK",AI69="OK",AI70="OK",AI72="OK",AI73="OK",AI75="OK",AI76="OK",AI77="OK",AI78="OK",AI79="OK",AI80="OK"),"OK","niet OK")</x:f>
      </x:c>
      <x:c r="Z84" s="3">
        <x:f>IF(AND(AJ62="OK",AJ63="OK",AJ64="OK",AJ65="OK",AJ66="OK",AJ67="OK",AJ68="OK",AJ69="OK",AJ70="OK",AJ72="OK",AJ73="OK",AJ75="OK",AJ76="OK",AJ77="OK",AJ78="OK",AJ79="OK",AJ80="OK"),"OK","niet OK")</x:f>
      </x:c>
      <x:c r="AA84" s="3">
        <x:f>IF(AND(AK62="OK",AK63="OK",AK64="OK",AK65="OK",AK66="OK",AK67="OK",AK68="OK",AK69="OK",AK70="OK",AK72="OK",AK73="OK",AK75="OK",AK76="OK",AK77="OK",AK78="OK",AK79="OK",AK80="OK"),"OK","niet OK")</x:f>
      </x:c>
      <x:c r="AB84" s="3">
        <x:f>IF(AND(AL62="OK",AL63="OK",AL64="OK",AL65="OK",AL66="OK",AL67="OK",AL68="OK",AL69="OK",AL70="OK",AL72="OK",AL73="OK",AL75="OK",AL76="OK",AL77="OK",AL78="OK",AL79="OK",AL80="OK"),"OK","niet OK")</x:f>
      </x:c>
      <x:c r="AC84" s="94">
        <x:f>IF(AND(AM62="OK",AM63="OK",AM64="OK",AM65="OK",AM66="OK",AM67="OK",AM68="OK",AM69="OK",AM70="OK",AM72="OK",AM73="OK",AM75="OK",AM76="OK",AM77="OK",AM78="OK",AM79="OK",AM80="OK"),"OK","niet OK")</x:f>
      </x:c>
      <x:c r="AD84" s="263" t="s">
        <x:v>130</x:v>
      </x:c>
      <x:c r="AE84" s="264"/>
    </x:row>
    <x:row r="85" spans="1:39" ht="18.75" customHeight="1" x14ac:dyDescent="0.3">
      <x:c r="O85" s="41"/>
      <x:c r="P85" s="68"/>
      <x:c r="Q85" s="68"/>
      <x:c r="R85" s="62"/>
      <x:c r="S85" s="62"/>
      <x:c r="T85" s="62"/>
      <x:c r="U85" s="62"/>
      <x:c r="V85" s="65"/>
      <x:c r="W85" s="10">
        <x:f>IF(AND(W82="OK",W84="OK"),"JA","NEE")</x:f>
      </x:c>
      <x:c r="X85" s="10">
        <x:f>IF(AND(X82="OK",X84="OK"),"JA","NEE")</x:f>
      </x:c>
      <x:c r="Y85" s="10">
        <x:f>IF(AND(Y82="OK",Y84="OK"),"JA","NEE")</x:f>
      </x:c>
      <x:c r="Z85" s="10">
        <x:f>IF(AND(Z82="OK",Z84="OK"),"JA","NEE")</x:f>
      </x:c>
      <x:c r="AA85" s="10">
        <x:f>IF(AND(AA82="OK",AA84="OK"),"JA","NEE")</x:f>
      </x:c>
      <x:c r="AB85" s="10">
        <x:f>IF(AND(AB82="OK",AB84="OK"),"JA","NEE")</x:f>
      </x:c>
      <x:c r="AC85" s="133">
        <x:f>IF(AND(AC82="OK",AC84="OK"),"JA","NEE")</x:f>
      </x:c>
      <x:c r="AD85" s="265" t="s">
        <x:v>132</x:v>
      </x:c>
      <x:c r="AE85" s="266"/>
    </x:row>
    <x:row r="86" spans="1:39" ht="19.5" customHeight="1" x14ac:dyDescent="0.35">
      <x:c r="O86" s="45"/>
      <x:c r="P86" s="46"/>
      <x:c r="Q86" s="46"/>
      <x:c r="R86" s="46"/>
      <x:c r="S86" s="46"/>
      <x:c r="T86" s="46"/>
      <x:c r="U86" s="46"/>
      <x:c r="V86" s="69"/>
      <x:c r="W86" s="101">
        <x:f>IF(AND(W83="OK",W84="OK"),"JA","NEE")</x:f>
      </x:c>
      <x:c r="X86" s="101">
        <x:f>IF(AND(X83="OK",X84="OK"),"JA","NEE")</x:f>
      </x:c>
      <x:c r="Y86" s="101">
        <x:f>IF(AND(Y83="OK",Y84="OK"),"JA","NEE")</x:f>
      </x:c>
      <x:c r="Z86" s="101">
        <x:f>IF(AND(Z83="OK",Z84="OK"),"JA","NEE")</x:f>
      </x:c>
      <x:c r="AA86" s="101">
        <x:f>IF(AND(AA83="OK",AA84="OK"),"JA","NEE")</x:f>
      </x:c>
      <x:c r="AB86" s="101">
        <x:f>IF(AND(AB83="OK",AB84="OK"),"JA","NEE")</x:f>
      </x:c>
      <x:c r="AC86" s="137">
        <x:f>IF(AND(AC83="OK",AC84="OK"),"JA","NEE")</x:f>
      </x:c>
      <x:c r="AD86" s="267" t="s">
        <x:v>133</x:v>
      </x:c>
      <x:c r="AE86" s="268"/>
    </x:row>
    <x:row r="87" spans="1:39" x14ac:dyDescent="0.25">
      <x:c r="W87" s="48"/>
      <x:c r="X87" s="48"/>
      <x:c r="Y87" s="48"/>
      <x:c r="Z87" s="48"/>
      <x:c r="AA87" s="48"/>
      <x:c r="AB87" s="48"/>
      <x:c r="AC87" s="48"/>
      <x:c r="AD87" s="48"/>
      <x:c r="AE87" s="48"/>
    </x:row>
    <x:row r="88" spans="1:39" x14ac:dyDescent="0.25">
      <x:c r="W88" s="48"/>
      <x:c r="X88" s="48"/>
      <x:c r="Y88" s="48"/>
      <x:c r="Z88" s="48"/>
      <x:c r="AA88" s="48"/>
      <x:c r="AB88" s="48"/>
      <x:c r="AC88" s="48"/>
      <x:c r="AD88" s="48"/>
      <x:c r="AE88" s="48"/>
    </x:row>
    <x:row r="89" spans="1:39" x14ac:dyDescent="0.25">
      <x:c r="W89" s="48"/>
      <x:c r="X89" s="48"/>
      <x:c r="Y89" s="48"/>
      <x:c r="Z89" s="48"/>
      <x:c r="AA89" s="48"/>
      <x:c r="AB89" s="48"/>
      <x:c r="AC89" s="48"/>
      <x:c r="AD89" s="48"/>
      <x:c r="AE89" s="48"/>
    </x:row>
    <x:row r="1048369" spans="1:39" x14ac:dyDescent="0.25">
      <x:c r="M1048369" s="21"/>
      <x:c r="N1048369" s="21"/>
      <x:c r="O1048369" s="21"/>
    </x:row>
  </x:sheetData>
  <x:sheetProtection sheet="1" objects="1"/>
  <x:protectedRanges>
    <x:protectedRange algorithmName="SHA-512" hashValue="FkuOLiiU2mjKZgvwGx8E75bKrmCqIjGITea9lnmTbF8YFwSgwmmO0sguAEuD9q85ceVdVlC+ktHNmpwn2QGGzg==" saltValue="cinkr5+j1hImB5wqxc8bTA==" spinCount="100000" sqref="W71:X71 W62:AC70 W72:AC80"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58:R58"/>
    <x:mergeCell ref="S58:U58"/>
    <x:mergeCell ref="M1048369:O1048369"/>
  </x:mergeCells>
  <x:conditionalFormatting sqref="D79:L79">
    <x:cfRule type="expression" dxfId="0" priority="1" stopIfTrue="1" operator="equal">
      <x:formula>$D$77&gt;225</x:formula>
    </x:cfRule>
  </x:conditionalFormatting>
  <x:conditionalFormatting sqref="W41:AC45 AD43:AE45 W85:AC89 AD87:AE89">
    <x:cfRule type="cellIs" dxfId="1" priority="2" operator="equal">
      <x:formula>"JA"</x:formula>
    </x:cfRule>
  </x:conditionalFormatting>
  <x:conditionalFormatting sqref="W38:AC40 W82:AC84">
    <x:cfRule type="cellIs" dxfId="2" priority="3" operator="equal">
      <x:formula>"niet OK"</x:formula>
    </x:cfRule>
  </x:conditionalFormatting>
  <x:conditionalFormatting sqref="W12:AC36 W56:AC80">
    <x:cfRule type="expression" dxfId="3" priority="4" operator="equal">
      <x:formula>$D$77&lt;(0.9*W$58+1)</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944FF7-1C1E-413C-8B1D-00626D003F7E}" mc:Ignorable="x14ac xr xr2 xr3">
  <x:sheetPr>
    <x:outlinePr summaryBelow="1" summaryRight="1"/>
  </x:sheetPr>
  <x:dimension ref="A1:R49"/>
  <x:sheetViews>
    <x:sheetView topLeftCell="A18" zoomScale="90" zoomScaleNormal="90" workbookViewId="0">
      <x:selection activeCell="B11" sqref="B11"/>
    </x:sheetView>
  </x:sheetViews>
  <x:sheetFormatPr defaultRowHeight="15" x14ac:dyDescent="0.25"/>
  <x:cols>
    <x:col min="1" max="1" width="8.285156" style="9" bestFit="1" customWidth="1"/>
    <x:col min="2" max="2" width="95.710938" style="0" customWidth="1"/>
    <x:col min="3" max="3" width="25" style="0" customWidth="1"/>
    <x:col min="4" max="4" width="15.140625" style="3" customWidth="1"/>
    <x:col min="5" max="5" width="11.710938" style="3" customWidth="1"/>
    <x:col min="6" max="6" width="12.140625" style="3" customWidth="1"/>
    <x:col min="7" max="7" width="3.285156" style="0" customWidth="1"/>
    <x:col min="8" max="8" width="9.140625" style="0" customWidth="1"/>
    <x:col min="9" max="9" width="12.570312" style="0" customWidth="1"/>
    <x:col min="10" max="10" width="9.140625" style="0" customWidth="1"/>
    <x:col min="11" max="11" width="10" style="0" customWidth="1"/>
    <x:col min="12" max="17" width="9.140625" style="0" customWidth="1"/>
    <x:col min="18" max="18" width="21.285156" style="0" customWidth="1"/>
  </x:cols>
  <x:sheetData>
    <x:row r="1" spans="1:18" ht="18.75" customHeight="1" x14ac:dyDescent="0.3">
      <x:c r="A1" s="51" t="s">
        <x:v>136</x:v>
      </x:c>
      <x:c r="B1" s="51"/>
      <x:c r="C1" s="51"/>
      <x:c r="D1" s="51"/>
      <x:c r="E1" s="51"/>
      <x:c r="F1" s="51"/>
    </x:row>
    <x:row r="2" spans="1:18" ht="60" customHeight="1" s="6" customFormat="1" x14ac:dyDescent="0.25">
      <x:c r="A2" s="8" t="s">
        <x:v>13</x:v>
      </x:c>
      <x:c r="B2" s="5" t="s">
        <x:v>14</x:v>
      </x:c>
      <x:c r="C2" s="5"/>
      <x:c r="D2" s="5" t="s">
        <x:v>137</x:v>
      </x:c>
      <x:c r="E2" s="8" t="s">
        <x:v>138</x:v>
      </x:c>
      <x:c r="F2" s="8" t="s">
        <x:v>139</x:v>
      </x:c>
    </x:row>
    <x:row r="4" spans="1:18" x14ac:dyDescent="0.25">
      <x:c r="A4" s="249"/>
      <x:c r="B4" s="2" t="s">
        <x:v>30</x:v>
      </x:c>
      <x:c r="C4" s="2"/>
      <x:c r="D4" s="4"/>
      <x:c r="E4" s="4"/>
      <x:c r="F4" s="4"/>
      <x:c r="I4" s="11" t="s">
        <x:v>68</x:v>
      </x:c>
      <x:c r="J4" s="272"/>
      <x:c r="K4" s="11" t="s">
        <x:v>140</x:v>
      </x:c>
    </x:row>
    <x:row r="5" spans="1:18" x14ac:dyDescent="0.25">
      <x:c r="A5" s="250"/>
      <x:c r="B5" s="0" t="s">
        <x:v>141</x:v>
      </x:c>
      <x:c r="D5" s="225">
        <x:v>1.4</x:v>
      </x:c>
      <x:c r="E5" s="225">
        <x:f>D5*A5</x:f>
      </x:c>
      <x:c r="F5" s="225">
        <x:f>D5*0.23*3*A5</x:f>
      </x:c>
      <x:c r="R5" s="1"/>
    </x:row>
    <x:row r="6" spans="1:18" x14ac:dyDescent="0.25">
      <x:c r="A6" s="249"/>
      <x:c r="D6" s="4"/>
      <x:c r="E6" s="4"/>
      <x:c r="F6" s="4"/>
      <x:c r="R6" s="1"/>
    </x:row>
    <x:row r="7" spans="1:18" x14ac:dyDescent="0.25">
      <x:c r="A7" s="249"/>
      <x:c r="B7" s="2" t="s">
        <x:v>34</x:v>
      </x:c>
      <x:c r="C7" s="2"/>
      <x:c r="D7" s="4"/>
      <x:c r="E7" s="4"/>
      <x:c r="F7" s="4"/>
      <x:c r="R7" s="1"/>
    </x:row>
    <x:row r="8" spans="1:18" x14ac:dyDescent="0.25">
      <x:c r="A8" s="250"/>
      <x:c r="B8" s="0" t="s">
        <x:v>141</x:v>
      </x:c>
      <x:c r="D8" s="225">
        <x:v>3.8</x:v>
      </x:c>
      <x:c r="E8" s="225">
        <x:f>D8*A8</x:f>
      </x:c>
      <x:c r="F8" s="225">
        <x:f>D8*0.23*3*A8</x:f>
      </x:c>
      <x:c r="R8" s="1"/>
    </x:row>
    <x:row r="9" spans="1:18" x14ac:dyDescent="0.25">
      <x:c r="A9" s="249"/>
      <x:c r="B9" s="2"/>
      <x:c r="C9" s="2"/>
      <x:c r="D9" s="4"/>
      <x:c r="E9" s="4"/>
      <x:c r="F9" s="4"/>
    </x:row>
    <x:row r="10" spans="1:18" x14ac:dyDescent="0.25">
      <x:c r="A10" s="249"/>
      <x:c r="B10" s="2" t="s">
        <x:v>142</x:v>
      </x:c>
      <x:c r="C10" s="2"/>
      <x:c r="D10" s="4"/>
      <x:c r="E10" s="4"/>
      <x:c r="F10" s="4"/>
    </x:row>
    <x:row r="11" spans="1:18" x14ac:dyDescent="0.25">
      <x:c r="A11" s="250"/>
      <x:c r="B11" s="0" t="s">
        <x:v>141</x:v>
      </x:c>
      <x:c r="D11" s="225">
        <x:v>3.2</x:v>
      </x:c>
      <x:c r="E11" s="225">
        <x:f>D11*A11</x:f>
      </x:c>
      <x:c r="F11" s="225">
        <x:f>D11*0.23*3*A11</x:f>
      </x:c>
    </x:row>
    <x:row r="12" spans="1:18" x14ac:dyDescent="0.25">
      <x:c r="A12" s="249"/>
      <x:c r="B12" s="2"/>
      <x:c r="C12" s="2"/>
      <x:c r="D12" s="4"/>
      <x:c r="E12" s="4"/>
      <x:c r="F12" s="4"/>
    </x:row>
    <x:row r="13" spans="1:18" x14ac:dyDescent="0.25">
      <x:c r="A13" s="249"/>
      <x:c r="B13" s="2" t="s">
        <x:v>36</x:v>
      </x:c>
      <x:c r="C13" s="2"/>
      <x:c r="D13" s="4"/>
      <x:c r="E13" s="4"/>
      <x:c r="F13" s="4"/>
    </x:row>
    <x:row r="14" spans="1:18" x14ac:dyDescent="0.25">
      <x:c r="A14" s="249"/>
      <x:c r="B14" s="0" t="s">
        <x:v>37</x:v>
      </x:c>
      <x:c r="D14" s="226"/>
      <x:c r="E14" s="225">
        <x:f>F14*1000/(3*230)</x:f>
      </x:c>
      <x:c r="F14" s="257"/>
    </x:row>
    <x:row r="15" spans="1:18" x14ac:dyDescent="0.25">
      <x:c r="A15" s="249"/>
      <x:c r="D15" s="4"/>
      <x:c r="E15" s="4"/>
      <x:c r="F15" s="4"/>
    </x:row>
    <x:row r="16" spans="1:18" x14ac:dyDescent="0.25">
      <x:c r="A16" s="249"/>
      <x:c r="B16" s="2" t="s">
        <x:v>38</x:v>
      </x:c>
      <x:c r="C16" s="2"/>
      <x:c r="D16" s="4"/>
      <x:c r="E16" s="4"/>
      <x:c r="F16" s="4"/>
    </x:row>
    <x:row r="17" spans="1:18" x14ac:dyDescent="0.25">
      <x:c r="A17" s="250"/>
      <x:c r="B17" s="0" t="s">
        <x:v>39</x:v>
      </x:c>
      <x:c r="C17" s="227" t="s">
        <x:v>40</x:v>
      </x:c>
      <x:c r="D17" s="225">
        <x:v>8.7</x:v>
      </x:c>
      <x:c r="E17" s="225">
        <x:f>D17*A17</x:f>
      </x:c>
      <x:c r="F17" s="225">
        <x:f>D17*0.23*3*A17</x:f>
      </x:c>
    </x:row>
    <x:row r="18" spans="1:18" x14ac:dyDescent="0.25">
      <x:c r="A18" s="250"/>
      <x:c r="B18" s="0" t="s">
        <x:v>39</x:v>
      </x:c>
      <x:c r="C18" s="228" t="s">
        <x:v>41</x:v>
      </x:c>
      <x:c r="D18" s="225">
        <x:v>44</x:v>
      </x:c>
      <x:c r="E18" s="225">
        <x:f>D18*A18</x:f>
      </x:c>
      <x:c r="F18" s="225">
        <x:f>D18*0.23*3*A18</x:f>
      </x:c>
    </x:row>
    <x:row r="19" spans="1:18" x14ac:dyDescent="0.25">
      <x:c r="A19" s="250"/>
      <x:c r="B19" s="0" t="s">
        <x:v>39</x:v>
      </x:c>
      <x:c r="C19" s="229" t="s">
        <x:v>42</x:v>
      </x:c>
      <x:c r="D19" s="225">
        <x:v>65</x:v>
      </x:c>
      <x:c r="E19" s="225">
        <x:f>D19*A19</x:f>
      </x:c>
      <x:c r="F19" s="225">
        <x:f>D19*0.23*3*A19</x:f>
      </x:c>
    </x:row>
    <x:row r="20" spans="1:18" x14ac:dyDescent="0.25">
      <x:c r="A20" s="250"/>
      <x:c r="B20" s="0" t="s">
        <x:v>43</x:v>
      </x:c>
      <x:c r="C20" s="227" t="s">
        <x:v>40</x:v>
      </x:c>
      <x:c r="D20" s="225">
        <x:v>32</x:v>
      </x:c>
      <x:c r="E20" s="225">
        <x:f>D20*A20</x:f>
      </x:c>
      <x:c r="F20" s="225">
        <x:f>D20*0.23*3*A20</x:f>
      </x:c>
    </x:row>
    <x:row r="21" spans="1:18" x14ac:dyDescent="0.25">
      <x:c r="A21" s="250"/>
      <x:c r="B21" s="0" t="s">
        <x:v>43</x:v>
      </x:c>
      <x:c r="C21" s="228" t="s">
        <x:v>41</x:v>
      </x:c>
      <x:c r="D21" s="225">
        <x:v>65</x:v>
      </x:c>
      <x:c r="E21" s="225">
        <x:f>D21*A21</x:f>
      </x:c>
      <x:c r="F21" s="225">
        <x:f>D21*0.23*3*A21</x:f>
      </x:c>
    </x:row>
    <x:row r="22" spans="1:18" x14ac:dyDescent="0.25">
      <x:c r="A22" s="250"/>
      <x:c r="B22" s="0" t="s">
        <x:v>43</x:v>
      </x:c>
      <x:c r="C22" s="229" t="s">
        <x:v>42</x:v>
      </x:c>
      <x:c r="D22" s="225">
        <x:v>65</x:v>
      </x:c>
      <x:c r="E22" s="225">
        <x:f>D22*A22</x:f>
      </x:c>
      <x:c r="F22" s="225">
        <x:f>D22*0.23*3*A22</x:f>
      </x:c>
    </x:row>
    <x:row r="23" spans="1:18" x14ac:dyDescent="0.25">
      <x:c r="A23" s="250"/>
      <x:c r="B23" s="0" t="s">
        <x:v>44</x:v>
      </x:c>
      <x:c r="C23" s="227" t="s">
        <x:v>40</x:v>
      </x:c>
      <x:c r="D23" s="225">
        <x:v>44</x:v>
      </x:c>
      <x:c r="E23" s="225">
        <x:f>D23*A23</x:f>
      </x:c>
      <x:c r="F23" s="225">
        <x:f>D23*0.23*3*A23</x:f>
      </x:c>
    </x:row>
    <x:row r="24" spans="1:18" x14ac:dyDescent="0.25">
      <x:c r="A24" s="250"/>
      <x:c r="B24" s="0" t="s">
        <x:v>44</x:v>
      </x:c>
      <x:c r="C24" s="228" t="s">
        <x:v>41</x:v>
      </x:c>
      <x:c r="D24" s="225">
        <x:v>65</x:v>
      </x:c>
      <x:c r="E24" s="225">
        <x:f>D24*A24</x:f>
      </x:c>
      <x:c r="F24" s="225">
        <x:f>D24*0.23*3*A24</x:f>
      </x:c>
    </x:row>
    <x:row r="25" spans="1:18" x14ac:dyDescent="0.25">
      <x:c r="A25" s="250"/>
      <x:c r="B25" s="0" t="s">
        <x:v>44</x:v>
      </x:c>
      <x:c r="C25" s="229" t="s">
        <x:v>42</x:v>
      </x:c>
      <x:c r="D25" s="225">
        <x:v>65</x:v>
      </x:c>
      <x:c r="E25" s="225">
        <x:f>D25*A25</x:f>
      </x:c>
      <x:c r="F25" s="225">
        <x:f>D25*0.23*3*A25</x:f>
      </x:c>
    </x:row>
    <x:row r="26" spans="1:18" x14ac:dyDescent="0.25">
      <x:c r="A26" s="250"/>
      <x:c r="B26" s="0" t="s">
        <x:v>45</x:v>
      </x:c>
      <x:c r="C26" s="227" t="s">
        <x:v>40</x:v>
      </x:c>
      <x:c r="D26" s="225">
        <x:v>65</x:v>
      </x:c>
      <x:c r="E26" s="225">
        <x:f>D26*A26</x:f>
      </x:c>
      <x:c r="F26" s="225">
        <x:f>D26*0.23*3*A26</x:f>
      </x:c>
    </x:row>
    <x:row r="27" spans="1:18" x14ac:dyDescent="0.25">
      <x:c r="A27" s="250"/>
      <x:c r="B27" s="0" t="s">
        <x:v>45</x:v>
      </x:c>
      <x:c r="C27" s="228" t="s">
        <x:v>41</x:v>
      </x:c>
      <x:c r="D27" s="225">
        <x:v>65</x:v>
      </x:c>
      <x:c r="E27" s="225">
        <x:f>D27*A27</x:f>
      </x:c>
      <x:c r="F27" s="225">
        <x:f>D27*0.23*3*A27</x:f>
      </x:c>
    </x:row>
    <x:row r="28" spans="1:18" x14ac:dyDescent="0.25">
      <x:c r="A28" s="250"/>
      <x:c r="B28" s="0" t="s">
        <x:v>45</x:v>
      </x:c>
      <x:c r="C28" s="229" t="s">
        <x:v>42</x:v>
      </x:c>
      <x:c r="D28" s="225">
        <x:v>65</x:v>
      </x:c>
      <x:c r="E28" s="225">
        <x:f>D28*A28</x:f>
      </x:c>
      <x:c r="F28" s="225">
        <x:f>D28*0.23*3*A28</x:f>
      </x:c>
    </x:row>
    <x:row r="29" spans="1:18" x14ac:dyDescent="0.25">
      <x:c r="A29" s="250"/>
      <x:c r="B29" s="0" t="s">
        <x:v>46</x:v>
      </x:c>
      <x:c r="C29" s="227" t="s">
        <x:v>40</x:v>
      </x:c>
      <x:c r="D29" s="225">
        <x:v>65</x:v>
      </x:c>
      <x:c r="E29" s="225">
        <x:f>D29*A29</x:f>
      </x:c>
      <x:c r="F29" s="225">
        <x:f>D29*0.23*3*A29</x:f>
      </x:c>
    </x:row>
    <x:row r="30" spans="1:18" x14ac:dyDescent="0.25">
      <x:c r="A30" s="250"/>
      <x:c r="B30" s="0" t="s">
        <x:v>46</x:v>
      </x:c>
      <x:c r="C30" s="228" t="s">
        <x:v>41</x:v>
      </x:c>
      <x:c r="D30" s="225">
        <x:v>65</x:v>
      </x:c>
      <x:c r="E30" s="225">
        <x:f>D30*A30</x:f>
      </x:c>
      <x:c r="F30" s="225">
        <x:f>D30*0.23*3*A30</x:f>
      </x:c>
    </x:row>
    <x:row r="31" spans="1:18" x14ac:dyDescent="0.25">
      <x:c r="A31" s="250"/>
      <x:c r="B31" s="0" t="s">
        <x:v>46</x:v>
      </x:c>
      <x:c r="C31" s="229" t="s">
        <x:v>42</x:v>
      </x:c>
      <x:c r="D31" s="225">
        <x:v>65</x:v>
      </x:c>
      <x:c r="E31" s="225">
        <x:f>D31*A31</x:f>
      </x:c>
      <x:c r="F31" s="225">
        <x:f>D31*0.23*3*A31</x:f>
      </x:c>
    </x:row>
    <x:row r="34" spans="1:18" ht="15.75" customHeight="1" x14ac:dyDescent="0.25">
      <x:c r="C34" s="7" t="s">
        <x:v>143</x:v>
      </x:c>
      <x:c r="D34" s="240">
        <x:f>SUM(E5:E31)</x:f>
      </x:c>
    </x:row>
    <x:row r="35" spans="1:18" ht="15.75" customHeight="1" x14ac:dyDescent="0.25">
      <x:c r="B35" s="7"/>
      <x:c r="C35" s="7"/>
      <x:c r="D35" s="54"/>
    </x:row>
    <x:row r="37" spans="1:18" ht="22.5" customHeight="1" x14ac:dyDescent="0.25">
      <x:c r="B37" s="14" t="s">
        <x:v>144</x:v>
      </x:c>
      <x:c r="C37" s="14"/>
    </x:row>
    <x:row r="38" spans="1:18" x14ac:dyDescent="0.25">
      <x:c r="B38" s="151"/>
      <x:c r="C38" s="151"/>
    </x:row>
    <x:row r="44" spans="1:18" ht="35.25" customHeight="1" x14ac:dyDescent="0.25">
      <x:c r="B44" s="15" t="s">
        <x:v>145</x:v>
      </x:c>
      <x:c r="C44" s="15"/>
    </x:row>
    <x:row r="45" spans="1:18" x14ac:dyDescent="0.25"/>
    <x:row r="46" spans="1:18" x14ac:dyDescent="0.25"/>
    <x:row r="47" spans="1:18" x14ac:dyDescent="0.25"/>
    <x:row r="48" spans="1:18" x14ac:dyDescent="0.25"/>
  </x:sheetData>
  <x:sheetProtection sheet="1" objects="1"/>
  <x:mergeCells count="2">
    <x:mergeCell ref="A1:F1"/>
    <x:mergeCell ref="B38:B4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6D6F4CA-9EAE-4E4D-ACAE-4AA90B2EE808}" mc:Ignorable="x14ac xr xr2 xr3">
  <x:sheetPr>
    <x:outlinePr summaryBelow="1" summaryRight="1"/>
  </x:sheetPr>
  <x:dimension ref="B1:O29"/>
  <x:sheetViews>
    <x:sheetView zoomScale="115" zoomScaleNormal="115" workbookViewId="0">
      <x:selection activeCell="I13" sqref="I13"/>
    </x:sheetView>
  </x:sheetViews>
  <x:sheetFormatPr defaultRowHeight="15" customHeight="1" x14ac:dyDescent="0.25"/>
  <x:cols>
    <x:col min="1" max="1" width="1" style="0" customWidth="1"/>
    <x:col min="2" max="2" width="37.285156" style="0" customWidth="1"/>
    <x:col min="3" max="8" width="9.140625" style="0" customWidth="1"/>
    <x:col min="9" max="9" width="14.570312" style="0" customWidth="1"/>
    <x:col min="10" max="11" width="9.140625" style="0" customWidth="1"/>
    <x:col min="12" max="12" width="6.425781" style="0" customWidth="1"/>
  </x:cols>
  <x:sheetData>
    <x:row r="1" spans="1:15" ht="15" customHeight="1" x14ac:dyDescent="0.3"/>
    <x:row r="2" spans="1:15" ht="16.5" customHeight="1" x14ac:dyDescent="0.3">
      <x:c r="B2" s="220" t="s">
        <x:v>146</x:v>
      </x:c>
      <x:c r="C2" s="221"/>
      <x:c r="D2" s="221"/>
      <x:c r="E2" s="221"/>
      <x:c r="F2" s="221"/>
      <x:c r="G2" s="221"/>
      <x:c r="H2" s="221"/>
      <x:c r="I2" s="222"/>
    </x:row>
    <x:row r="4" spans="1:15" ht="15.75" customHeight="1" x14ac:dyDescent="0.3">
      <x:c r="B4" s="195" t="s">
        <x:v>147</x:v>
      </x:c>
    </x:row>
    <x:row r="5" spans="1:15" ht="15.75" customHeight="1" x14ac:dyDescent="0.3">
      <x:c r="B5" s="196"/>
      <x:c r="C5" s="192" t="s">
        <x:v>148</x:v>
      </x:c>
      <x:c r="D5" s="184"/>
      <x:c r="E5" s="184"/>
      <x:c r="F5" s="185"/>
    </x:row>
    <x:row r="6" spans="1:15" ht="15.75" customHeight="1" x14ac:dyDescent="0.3">
      <x:c r="B6" s="190" t="s">
        <x:v>149</x:v>
      </x:c>
      <x:c r="C6" s="189" t="s">
        <x:v>150</x:v>
      </x:c>
      <x:c r="D6" s="181" t="s">
        <x:v>151</x:v>
      </x:c>
      <x:c r="E6" s="181" t="s">
        <x:v>152</x:v>
      </x:c>
      <x:c r="F6" s="180" t="s">
        <x:v>153</x:v>
      </x:c>
      <x:c r="G6" s="182" t="s">
        <x:v>154</x:v>
      </x:c>
    </x:row>
    <x:row r="7" spans="1:15" x14ac:dyDescent="0.25">
      <x:c r="B7" s="197" t="s">
        <x:v>155</x:v>
      </x:c>
      <x:c r="C7" s="193"/>
      <x:c r="D7" s="157">
        <x:v>2700</x:v>
      </x:c>
      <x:c r="E7" s="157">
        <x:v>1940</x:v>
      </x:c>
      <x:c r="F7" s="157">
        <x:v>1450</x:v>
      </x:c>
      <x:c r="G7" s="176">
        <x:v>1120</x:v>
      </x:c>
    </x:row>
    <x:row r="8" spans="1:15" x14ac:dyDescent="0.25">
      <x:c r="B8" s="198" t="s">
        <x:v>156</x:v>
      </x:c>
      <x:c r="C8" s="193"/>
      <x:c r="D8" s="157">
        <x:v>1700</x:v>
      </x:c>
      <x:c r="E8" s="157">
        <x:v>1220</x:v>
      </x:c>
      <x:c r="F8" s="157">
        <x:v>910</x:v>
      </x:c>
      <x:c r="G8" s="176">
        <x:v>710</x:v>
      </x:c>
    </x:row>
    <x:row r="9" spans="1:15" x14ac:dyDescent="0.25">
      <x:c r="B9" s="198" t="s">
        <x:v>157</x:v>
      </x:c>
      <x:c r="C9" s="193">
        <x:v>1800</x:v>
      </x:c>
      <x:c r="D9" s="157">
        <x:v>1010</x:v>
      </x:c>
      <x:c r="E9" s="157">
        <x:v>720</x:v>
      </x:c>
      <x:c r="F9" s="157">
        <x:v>540</x:v>
      </x:c>
      <x:c r="G9" s="176">
        <x:v>420</x:v>
      </x:c>
    </x:row>
    <x:row r="10" spans="1:15" x14ac:dyDescent="0.25">
      <x:c r="B10" s="198" t="s">
        <x:v>158</x:v>
      </x:c>
      <x:c r="C10" s="193"/>
      <x:c r="D10" s="157">
        <x:v>2140</x:v>
      </x:c>
      <x:c r="E10" s="157">
        <x:v>1470</x:v>
      </x:c>
      <x:c r="F10" s="157">
        <x:v>1170</x:v>
      </x:c>
      <x:c r="G10" s="176">
        <x:v>920</x:v>
      </x:c>
    </x:row>
    <x:row r="11" spans="1:15" x14ac:dyDescent="0.25">
      <x:c r="B11" s="198" t="s">
        <x:v>159</x:v>
      </x:c>
      <x:c r="C11" s="193"/>
      <x:c r="D11" s="157">
        <x:v>1240</x:v>
      </x:c>
      <x:c r="E11" s="157">
        <x:v>890</x:v>
      </x:c>
      <x:c r="F11" s="157">
        <x:v>660</x:v>
      </x:c>
      <x:c r="G11" s="176">
        <x:v>510</x:v>
      </x:c>
    </x:row>
    <x:row r="12" spans="1:15" x14ac:dyDescent="0.25">
      <x:c r="B12" s="198" t="s">
        <x:v>160</x:v>
      </x:c>
      <x:c r="C12" s="193">
        <x:v>1330</x:v>
      </x:c>
      <x:c r="D12" s="157">
        <x:v>740</x:v>
      </x:c>
      <x:c r="E12" s="157">
        <x:v>520</x:v>
      </x:c>
      <x:c r="F12" s="157">
        <x:v>390</x:v>
      </x:c>
      <x:c r="G12" s="176">
        <x:v>300</x:v>
      </x:c>
    </x:row>
    <x:row r="13" spans="1:15" ht="15.75" customHeight="1" x14ac:dyDescent="0.3">
      <x:c r="B13" s="199" t="s">
        <x:v>161</x:v>
      </x:c>
      <x:c r="C13" s="194">
        <x:v>560</x:v>
      </x:c>
      <x:c r="D13" s="178">
        <x:v>300</x:v>
      </x:c>
      <x:c r="E13" s="177"/>
      <x:c r="F13" s="177"/>
      <x:c r="G13" s="183"/>
    </x:row>
    <x:row r="14" spans="1:15" x14ac:dyDescent="0.25">
      <x:c r="L14" s="21"/>
      <x:c r="M14" s="21"/>
      <x:c r="N14" s="21"/>
      <x:c r="O14" s="21"/>
    </x:row>
    <x:row r="15" spans="1:15" ht="15.75" customHeight="1" x14ac:dyDescent="0.3">
      <x:c r="J15" s="152"/>
      <x:c r="K15" s="21"/>
      <x:c r="L15" s="21"/>
      <x:c r="M15" s="21"/>
      <x:c r="N15" s="21"/>
      <x:c r="O15" s="21"/>
    </x:row>
    <x:row r="16" spans="1:15" ht="15.75" customHeight="1" x14ac:dyDescent="0.3">
      <x:c r="B16" s="200" t="s">
        <x:v>162</x:v>
      </x:c>
    </x:row>
    <x:row r="17" spans="1:15" ht="15.75" customHeight="1" x14ac:dyDescent="0.3">
      <x:c r="B17" s="188"/>
      <x:c r="C17" s="192" t="s">
        <x:v>148</x:v>
      </x:c>
      <x:c r="D17" s="184"/>
      <x:c r="E17" s="184"/>
      <x:c r="F17" s="184"/>
      <x:c r="G17" s="185"/>
      <x:c r="L17" s="153"/>
      <x:c r="M17" s="153"/>
      <x:c r="N17" s="153"/>
      <x:c r="O17" s="153"/>
    </x:row>
    <x:row r="18" spans="1:15" x14ac:dyDescent="0.25">
      <x:c r="B18" s="201" t="s">
        <x:v>149</x:v>
      </x:c>
      <x:c r="C18" s="31" t="s">
        <x:v>150</x:v>
      </x:c>
      <x:c r="D18" s="187" t="s">
        <x:v>151</x:v>
      </x:c>
      <x:c r="E18" s="187" t="s">
        <x:v>152</x:v>
      </x:c>
      <x:c r="F18" s="186" t="s">
        <x:v>153</x:v>
      </x:c>
      <x:c r="G18" s="61" t="s">
        <x:v>154</x:v>
      </x:c>
    </x:row>
    <x:row r="19" spans="1:15" x14ac:dyDescent="0.25">
      <x:c r="B19" s="198" t="s">
        <x:v>155</x:v>
      </x:c>
      <x:c r="C19" s="193"/>
      <x:c r="D19" s="157">
        <x:v>2660</x:v>
      </x:c>
      <x:c r="E19" s="157">
        <x:v>1900</x:v>
      </x:c>
      <x:c r="F19" s="157">
        <x:v>1410</x:v>
      </x:c>
      <x:c r="G19" s="176">
        <x:v>1090</x:v>
      </x:c>
    </x:row>
    <x:row r="20" spans="1:15" x14ac:dyDescent="0.25">
      <x:c r="B20" s="198" t="s">
        <x:v>156</x:v>
      </x:c>
      <x:c r="C20" s="193"/>
      <x:c r="D20" s="157">
        <x:v>1670</x:v>
      </x:c>
      <x:c r="E20" s="157">
        <x:v>1190</x:v>
      </x:c>
      <x:c r="F20" s="157">
        <x:v>880</x:v>
      </x:c>
      <x:c r="G20" s="176">
        <x:v>680</x:v>
      </x:c>
    </x:row>
    <x:row r="21" spans="1:15" x14ac:dyDescent="0.25">
      <x:c r="B21" s="198" t="s">
        <x:v>157</x:v>
      </x:c>
      <x:c r="C21" s="193">
        <x:v>1800</x:v>
      </x:c>
      <x:c r="D21" s="157">
        <x:v>1000</x:v>
      </x:c>
      <x:c r="E21" s="157">
        <x:v>710</x:v>
      </x:c>
      <x:c r="F21" s="157">
        <x:v>530</x:v>
      </x:c>
      <x:c r="G21" s="176">
        <x:v>400</x:v>
      </x:c>
    </x:row>
    <x:row r="22" spans="1:15" x14ac:dyDescent="0.25">
      <x:c r="B22" s="198" t="s">
        <x:v>158</x:v>
      </x:c>
      <x:c r="C22" s="193"/>
      <x:c r="D22" s="157">
        <x:v>2060</x:v>
      </x:c>
      <x:c r="E22" s="157">
        <x:v>1430</x:v>
      </x:c>
      <x:c r="F22" s="157">
        <x:v>1090</x:v>
      </x:c>
      <x:c r="G22" s="176">
        <x:v>840</x:v>
      </x:c>
    </x:row>
    <x:row r="23" spans="1:15" x14ac:dyDescent="0.25">
      <x:c r="B23" s="198" t="s">
        <x:v>159</x:v>
      </x:c>
      <x:c r="C23" s="193"/>
      <x:c r="D23" s="157">
        <x:v>1220</x:v>
      </x:c>
      <x:c r="E23" s="157">
        <x:v>860</x:v>
      </x:c>
      <x:c r="F23" s="157">
        <x:v>630</x:v>
      </x:c>
      <x:c r="G23" s="176">
        <x:v>480</x:v>
      </x:c>
    </x:row>
    <x:row r="24" spans="1:15" ht="15.75" customHeight="1" x14ac:dyDescent="0.3">
      <x:c r="B24" s="199" t="s">
        <x:v>160</x:v>
      </x:c>
      <x:c r="C24" s="194">
        <x:v>1330</x:v>
      </x:c>
      <x:c r="D24" s="178">
        <x:v>740</x:v>
      </x:c>
      <x:c r="E24" s="178">
        <x:v>510</x:v>
      </x:c>
      <x:c r="F24" s="178">
        <x:v>370</x:v>
      </x:c>
      <x:c r="G24" s="179">
        <x:v>290</x:v>
      </x:c>
    </x:row>
    <x:row r="25" spans="1:15" ht="15.75" customHeight="1" x14ac:dyDescent="0.3"/>
    <x:row r="26" spans="1:15" x14ac:dyDescent="0.25">
      <x:c r="B26" s="124" t="s">
        <x:v>163</x:v>
      </x:c>
      <x:c r="C26" s="174"/>
      <x:c r="D26" s="174"/>
      <x:c r="E26" s="174"/>
      <x:c r="F26" s="174"/>
      <x:c r="G26" s="142"/>
    </x:row>
    <x:row r="27" spans="1:15" ht="15.75" customHeight="1" x14ac:dyDescent="0.3">
      <x:c r="B27" s="191" t="s">
        <x:v>164</x:v>
      </x:c>
      <x:c r="C27" s="175"/>
      <x:c r="D27" s="175"/>
      <x:c r="E27" s="175"/>
      <x:c r="F27" s="175"/>
      <x:c r="G27" s="123"/>
    </x:row>
  </x:sheetData>
  <x:mergeCells count="1">
    <x:mergeCell ref="B2:I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D74BE9-5C60-451C-B531-CF3FEAE0996C}">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purl.org/dc/elements/1.1/"/>
    <ds:schemaRef ds:uri="http://www.w3.org/XML/1998/namespace"/>
    <ds:schemaRef ds:uri="http://schemas.openxmlformats.org/package/2006/metadata/core-properties"/>
    <ds:schemaRef ds:uri="80a5ce49-ae3b-4e2d-9320-19c5acb9498b"/>
    <ds:schemaRef ds:uri="be2d626e-6961-4186-8118-9b786d0b957a"/>
  </ds:schemaRefs>
</ds:datastoreItem>
</file>

<file path=customXml/itemProps2.xml><?xml version="1.0" encoding="utf-8"?>
<ds:datastoreItem xmlns:ds="http://schemas.openxmlformats.org/officeDocument/2006/customXml" ds:itemID="{1443AF61-D549-432A-A671-A9428660F5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d626e-6961-4186-8118-9b786d0b957a"/>
    <ds:schemaRef ds:uri="80a5ce49-ae3b-4e2d-9320-19c5acb94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AD76E-7AB8-455F-B965-403CB93D8ABA}">
  <ds:schemaRefs>
    <ds:schemaRef ds:uri="http://schemas.microsoft.com/sharepoint/v3/contenttype/forms"/>
  </ds:schemaRefs>
</ds:datastoreItem>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17</vt:i4>
      </vt:variant>
      <vt:variant>
        <vt:lpstr>Named Ranges</vt:lpstr>
      </vt:variant>
      <vt:variant>
        <vt:i4>34</vt:i4>
      </vt:variant>
    </vt:vector>
  </ap:HeadingPairs>
  <ap:TitlesOfParts>
    <vt:vector baseType="lpstr" size="51">
      <vt:lpstr>Versie beheer</vt:lpstr>
      <vt:lpstr>Transformator</vt:lpstr>
      <vt:lpstr>Blad1</vt:lpstr>
      <vt:lpstr>(1)</vt:lpstr>
      <vt:lpstr>(2)</vt:lpstr>
      <vt:lpstr>(3)</vt:lpstr>
      <vt:lpstr>(4)</vt:lpstr>
      <vt:lpstr>(5)</vt:lpstr>
      <vt:lpstr>(6)</vt:lpstr>
      <vt:lpstr>(7)</vt:lpstr>
      <vt:lpstr>(8)</vt:lpstr>
      <vt:lpstr>(9)</vt:lpstr>
      <vt:lpstr>(10)</vt:lpstr>
      <vt:lpstr>(11)</vt:lpstr>
      <vt:lpstr>(12)</vt:lpstr>
      <vt:lpstr>Stijgleiding</vt:lpstr>
      <vt:lpstr>OVL</vt:lpstr>
      <vt:lpstr>Versie beheer!Print_Area</vt:lpstr>
      <vt:lpstr>Versie beheer!Print_Titles</vt:lpstr>
      <vt:lpstr>Transformator!Print_Area</vt:lpstr>
      <vt:lpstr>Transformator!Print_Titles</vt:lpstr>
      <vt:lpstr>Blad1!Print_Area</vt:lpstr>
      <vt:lpstr>Blad1!Print_Titles</vt:lpstr>
      <vt:lpstr>(1)!Print_Area</vt:lpstr>
      <vt:lpstr>(1)!Print_Titles</vt:lpstr>
      <vt:lpstr>(2)!Print_Area</vt:lpstr>
      <vt:lpstr>(2)!Print_Titles</vt:lpstr>
      <vt:lpstr>(3)!Print_Area</vt:lpstr>
      <vt:lpstr>(3)!Print_Titles</vt:lpstr>
      <vt:lpstr>(4)!Print_Area</vt:lpstr>
      <vt:lpstr>(4)!Print_Titles</vt:lpstr>
      <vt:lpstr>(5)!Print_Area</vt:lpstr>
      <vt:lpstr>(5)!Print_Titles</vt:lpstr>
      <vt:lpstr>(6)!Print_Area</vt:lpstr>
      <vt:lpstr>(6)!Print_Titles</vt:lpstr>
      <vt:lpstr>(7)!Print_Area</vt:lpstr>
      <vt:lpstr>(7)!Print_Titles</vt:lpstr>
      <vt:lpstr>(8)!Print_Area</vt:lpstr>
      <vt:lpstr>(8)!Print_Titles</vt:lpstr>
      <vt:lpstr>(9)!Print_Area</vt:lpstr>
      <vt:lpstr>(9)!Print_Titles</vt:lpstr>
      <vt:lpstr>(10)!Print_Area</vt:lpstr>
      <vt:lpstr>(10)!Print_Titles</vt:lpstr>
      <vt:lpstr>(11)!Print_Area</vt:lpstr>
      <vt:lpstr>(11)!Print_Titles</vt:lpstr>
      <vt:lpstr>(12)!Print_Area</vt:lpstr>
      <vt:lpstr>(12)!Print_Titles</vt:lpstr>
      <vt:lpstr>Stijgleiding!Print_Area</vt:lpstr>
      <vt:lpstr>Stijgleiding!Print_Titles</vt:lpstr>
      <vt:lpstr>OVL!Print_Area</vt:lpstr>
      <vt:lpstr>OVL!Print_Titles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Excel bij "Ontwerpen met tabellen"</dc:title>
  <dc:subject/>
  <dc:creator>Hemrica, Ytzen</dc:creator>
  <keywords/>
  <dc:description/>
  <lastModifiedBy>Ezra Stroink | Techbase</lastModifiedBy>
  <revision/>
  <dcterms:created xsi:type="dcterms:W3CDTF">2019-02-20T12:23:12.0000000Z</dcterms:created>
  <dcterms:modified xsi:type="dcterms:W3CDTF">2026-09-29T12:02:52.0000000Z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0x010100912791E6A3D5DA43887C2DB260B05564</vt:lpwstr>
  </op:property>
  <op:property fmtid="{D5CDD505-2E9C-101B-9397-08002B2CF9AE}" pid="3" name="Order">
    <vt:r8>11022400</vt:r8>
  </op:property>
  <op:property fmtid="{D5CDD505-2E9C-101B-9397-08002B2CF9AE}" pid="4" name="xd_Signature">
    <vt:bool>false</vt:bool>
  </op:property>
  <op:property fmtid="{D5CDD505-2E9C-101B-9397-08002B2CF9AE}" pid="5" name="xd_ProgID">
    <vt:lpwstr/>
  </op:property>
  <op:property fmtid="{D5CDD505-2E9C-101B-9397-08002B2CF9AE}" pid="6" name="_ExtendedDescription">
    <vt:lpwstr/>
  </op:property>
  <op:property fmtid="{D5CDD505-2E9C-101B-9397-08002B2CF9AE}" pid="7" name="TriggerFlowInfo">
    <vt:lpwstr/>
  </op:property>
  <op:property fmtid="{D5CDD505-2E9C-101B-9397-08002B2CF9AE}" pid="8" name="ComplianceAssetId">
    <vt:lpwstr/>
  </op:property>
  <op:property fmtid="{D5CDD505-2E9C-101B-9397-08002B2CF9AE}" pid="9" name="TemplateUrl">
    <vt:lpwstr/>
  </op:property>
  <op:property fmtid="{D5CDD505-2E9C-101B-9397-08002B2CF9AE}" pid="10" name="MediaServiceImageTags">
    <vt:lpwstr/>
  </op:property>
  <op:property fmtid="{D5CDD505-2E9C-101B-9397-08002B2CF9AE}" pid="11" name="_dlc_DocIdItemGuid">
    <vt:lpwstr>84f39fbf-6df9-4aa8-bda6-99177312c4c7</vt:lpwstr>
  </op:property>
  <op:property fmtid="{D5CDD505-2E9C-101B-9397-08002B2CF9AE}" pid="12" name="Afdeling">
    <vt:lpwstr>157;#NET- EN CAPACITEITSMGT LS ＆ MS|0fc86f4c-bd43-4b39-9941-c4c4108e5de8</vt:lpwstr>
  </op:property>
  <op:property fmtid="{D5CDD505-2E9C-101B-9397-08002B2CF9AE}" pid="13" name="Vertrouwelijkheidsniveau">
    <vt:lpwstr>32;#Intern|1a4597c7-8657-403e-a80d-ba1e21764213</vt:lpwstr>
  </op:property>
  <op:property fmtid="{D5CDD505-2E9C-101B-9397-08002B2CF9AE}" pid="14" name="kb14d46e0a7b48a89df21bde0f8c6db8">
    <vt:lpwstr/>
  </op:property>
  <op:property fmtid="{D5CDD505-2E9C-101B-9397-08002B2CF9AE}" pid="15" name="LinkenNaarDEN">
    <vt:lpwstr/>
  </op:property>
  <op:property fmtid="{D5CDD505-2E9C-101B-9397-08002B2CF9AE}" pid="16" name="Onderwerp">
    <vt:lpwstr>15;#Beleid|a88cb305-449a-4bb7-be3c-0db84378ade0;#43;#Ontwerp en Aanleg Infra|05424648-9258-44f9-b347-71717db44dce;#42;#Ontwerp en Aanleg Aansluitingen|cd4ba11c-e98a-42cc-aa7f-25b9ab100cec</vt:lpwstr>
  </op:property>
  <op:property fmtid="{D5CDD505-2E9C-101B-9397-08002B2CF9AE}" pid="17" name="e5d88dfa1e9045b9864e4fb43105ddfb">
    <vt:lpwstr>N.v.t.|f89c0abe-3f2a-4727-9e9b-f7d7e18140ac</vt:lpwstr>
  </op:property>
  <op:property fmtid="{D5CDD505-2E9C-101B-9397-08002B2CF9AE}" pid="18" name="BestaatUit">
    <vt:lpwstr/>
  </op:property>
  <op:property fmtid="{D5CDD505-2E9C-101B-9397-08002B2CF9AE}" pid="19" name="Mutatiesoort">
    <vt:lpwstr>84;#Gewijzigd|f3dc61a3-2652-4f68-beea-dfa9c7427ae0</vt:lpwstr>
  </op:property>
  <op:property fmtid="{D5CDD505-2E9C-101B-9397-08002B2CF9AE}" pid="20" name="Proces">
    <vt:lpwstr>13;#Beleid|08b631c3-20b0-4a43-9a0c-f16cdfaff7d3</vt:lpwstr>
  </op:property>
  <op:property fmtid="{D5CDD505-2E9C-101B-9397-08002B2CF9AE}" pid="21" name="Componentgroep">
    <vt:lpwstr>130;#N.v.t.|f89c0abe-3f2a-4727-9e9b-f7d7e18140ac</vt:lpwstr>
  </op:property>
  <op:property fmtid="{D5CDD505-2E9C-101B-9397-08002B2CF9AE}" pid="22" name="Normcommissie">
    <vt:lpwstr/>
  </op:property>
  <op:property fmtid="{D5CDD505-2E9C-101B-9397-08002B2CF9AE}" pid="23" name="PublicerenNaar">
    <vt:lpwstr>162;#Gepubliceerd naar Aannemersportaal|a2fff5d2-77bc-4729-9f17-cd3e12ae106e</vt:lpwstr>
  </op:property>
  <op:property fmtid="{D5CDD505-2E9C-101B-9397-08002B2CF9AE}" pid="24" name="Discipline">
    <vt:lpwstr>30;#Elektriciteit|d2561944-72c2-413c-9df5-747f3bf7b189</vt:lpwstr>
  </op:property>
  <op:property fmtid="{D5CDD505-2E9C-101B-9397-08002B2CF9AE}" pid="25" name="Bestelbaar">
    <vt:bool>false</vt:bool>
  </op:property>
  <op:property fmtid="{D5CDD505-2E9C-101B-9397-08002B2CF9AE}" pid="26" name="m2278a6bbcc348c48eb9549eb651ce7a">
    <vt:lpwstr/>
  </op:property>
  <op:property fmtid="{D5CDD505-2E9C-101B-9397-08002B2CF9AE}" pid="27" name="Toepassingsgebied">
    <vt:lpwstr/>
  </op:property>
  <op:property fmtid="{D5CDD505-2E9C-101B-9397-08002B2CF9AE}" pid="28" name="Doelgroep">
    <vt:lpwstr>79;#(medewerker) Engineer|679bad81-2a89-4cc9-9696-b4315a73b7d8</vt:lpwstr>
  </op:property>
  <op:property fmtid="{D5CDD505-2E9C-101B-9397-08002B2CF9AE}" pid="29" name="SoortBeleidsdocument">
    <vt:lpwstr>146;#N.v.t.|3441fe3e-1fb5-4963-b005-d9241ba1abee</vt:lpwstr>
  </op:property>
  <op:property fmtid="{D5CDD505-2E9C-101B-9397-08002B2CF9AE}" pid="30" name="m15cd9860a8c4f948c323496c2c85b0d">
    <vt:lpwstr/>
  </op:property>
  <op:property fmtid="{D5CDD505-2E9C-101B-9397-08002B2CF9AE}" pid="31" name="Netvlak0">
    <vt:lpwstr>60;#LS|34f96bd0-44a9-4a06-8ca4-582c5766c200</vt:lpwstr>
  </op:property>
  <op:property fmtid="{D5CDD505-2E9C-101B-9397-08002B2CF9AE}" pid="32" name="NENConnectMutaties">
    <vt:lpwstr/>
  </op:property>
  <op:property fmtid="{D5CDD505-2E9C-101B-9397-08002B2CF9AE}" pid="33" name="ne9ebb55996e405fa5aeb3490bdcd9cf">
    <vt:lpwstr>LS|34f96bd0-44a9-4a06-8ca4-582c5766c200</vt:lpwstr>
  </op:property>
  <op:property fmtid="{D5CDD505-2E9C-101B-9397-08002B2CF9AE}" pid="34" name="Goedkeuringsstatus">
    <vt:lpwstr>Approve</vt:lpwstr>
  </op:property>
  <op:property fmtid="{D5CDD505-2E9C-101B-9397-08002B2CF9AE}" pid="35" name="l851e569308c4aaab49b8408160d217f">
    <vt:lpwstr>N.v.t.|3441fe3e-1fb5-4963-b005-d9241ba1abee</vt:lpwstr>
  </op:property>
  <op:property fmtid="{D5CDD505-2E9C-101B-9397-08002B2CF9AE}" pid="36" name="m5728e99927e43e7958c5bbd920aa092">
    <vt:lpwstr>Elektriciteit|d2561944-72c2-413c-9df5-747f3bf7b189</vt:lpwstr>
  </op:property>
  <op:property fmtid="{D5CDD505-2E9C-101B-9397-08002B2CF9AE}" pid="37" name="Gereedschap_x002d_E">
    <vt:lpwstr/>
  </op:property>
  <op:property fmtid="{D5CDD505-2E9C-101B-9397-08002B2CF9AE}" pid="38" name="Gereedschap_x002d_G">
    <vt:lpwstr/>
  </op:property>
  <op:property fmtid="{D5CDD505-2E9C-101B-9397-08002B2CF9AE}" pid="39" name="TriggerFlow">
    <vt:bool>true</vt:bool>
  </op:property>
  <op:property fmtid="{D5CDD505-2E9C-101B-9397-08002B2CF9AE}" pid="40" name="AantalDen">
    <vt:lpwstr/>
  </op:property>
  <op:property fmtid="{D5CDD505-2E9C-101B-9397-08002B2CF9AE}" pid="41" name="ba5a923f57584846b39267c1f98596ae">
    <vt:lpwstr/>
  </op:property>
  <op:property fmtid="{D5CDD505-2E9C-101B-9397-08002B2CF9AE}" pid="42" name="Documentstatus">
    <vt:lpwstr/>
  </op:property>
  <op:property fmtid="{D5CDD505-2E9C-101B-9397-08002B2CF9AE}" pid="43" name="Filternaam">
    <vt:lpwstr>Eea-0205.K.xlsx</vt:lpwstr>
  </op:property>
  <op:property fmtid="{D5CDD505-2E9C-101B-9397-08002B2CF9AE}" pid="44" name="Nummer">
    <vt:lpwstr/>
  </op:property>
  <op:property fmtid="{D5CDD505-2E9C-101B-9397-08002B2CF9AE}" pid="45" name="j74e55614f0b4c229cb45907796095f7">
    <vt:lpwstr/>
  </op:property>
  <op:property fmtid="{D5CDD505-2E9C-101B-9397-08002B2CF9AE}" pid="46" name="Documentclassificatie">
    <vt:lpwstr/>
  </op:property>
  <op:property fmtid="{D5CDD505-2E9C-101B-9397-08002B2CF9AE}" pid="47" name="SharedWithUsers">
    <vt:lpwstr/>
  </op:property>
  <op:property fmtid="{D5CDD505-2E9C-101B-9397-08002B2CF9AE}" pid="48" name="Gereedschap-E">
    <vt:lpwstr/>
  </op:property>
  <op:property fmtid="{D5CDD505-2E9C-101B-9397-08002B2CF9AE}" pid="49" name="Gereedschap-G">
    <vt:lpwstr/>
  </op:property>
  <op:property fmtid="{D5CDD505-2E9C-101B-9397-08002B2CF9AE}" pid="50" name="BeoordelaarNormen">
    <vt:lpwstr/>
  </op:property>
</op:Properties>
</file>