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codeName="ThisWorkbook" defaultThemeVersion="166925"/>
  <mc:AlternateContent xmlns:mc="http://schemas.openxmlformats.org/markup-compatibility/2006">
    <mc:Choice Requires="x15">
      <x15ac:absPath xmlns:x15ac="http://schemas.microsoft.com/office/spreadsheetml/2010/11/ac" url="C:\Users\LukaStuurmanHDBTechb\Downloads\"/>
    </mc:Choice>
  </mc:AlternateContent>
  <xr:revisionPtr revIDLastSave="0" documentId="13_ncr:1_{E906D4FB-2D63-4814-9288-E05F8B203F96}" xr6:coauthVersionLast="47" xr6:coauthVersionMax="47" xr10:uidLastSave="{00000000-0000-0000-0000-000000000000}"/>
  <x:bookViews>
    <x:workbookView xWindow="-28920" yWindow="-120" windowWidth="29040" windowHeight="15720" firstSheet="0" activeTab="0" xr2:uid="{B7A881E3-F0DF-446A-A40E-6F4020F62436}"/>
  </x:bookViews>
  <x:sheets>
    <x:sheet name="Versie beheer" sheetId="14" r:id="rId1"/>
    <x:sheet name="Ontwerpstroom_trafo" sheetId="1" r:id="rId2"/>
    <x:sheet name="Ontwerpstroom_stijgleiding" sheetId="11" r:id="rId4"/>
    <x:sheet name="max lengte OVL kabels" sheetId="13" r:id="rId7"/>
    <x:sheet name="Ontwerpstroom_kabel R1" sheetId="15" r:id="rId15"/>
    <x:sheet name="Controle_evenredig R1" sheetId="16" r:id="rId16"/>
  </x:sheet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E5" i="1"/>
  <x:c r="F5" i="1"/>
  <x:c r="G5" i="1"/>
  <x:c r="H5" i="1"/>
  <x:c r="E6" i="1"/>
  <x:c r="F6" i="1"/>
  <x:c r="G6" i="1"/>
  <x:c r="H6" i="1"/>
  <x:c r="E7" i="1"/>
  <x:c r="F7" i="1"/>
  <x:c r="G7" i="1"/>
  <x:c r="H7" i="1"/>
  <x:c r="E8" i="1"/>
  <x:c r="F8" i="1"/>
  <x:c r="G8" i="1"/>
  <x:c r="H8" i="1"/>
  <x:c r="E11" i="1"/>
  <x:c r="F11" i="1"/>
  <x:c r="G11" i="1"/>
  <x:c r="H11" i="1"/>
  <x:c r="E12" i="1"/>
  <x:c r="F12" i="1"/>
  <x:c r="G12" i="1"/>
  <x:c r="H12" i="1"/>
  <x:c r="E13" i="1"/>
  <x:c r="F13" i="1"/>
  <x:c r="G13" i="1"/>
  <x:c r="H13" i="1"/>
  <x:c r="E14" i="1"/>
  <x:c r="F14" i="1"/>
  <x:c r="G14" i="1"/>
  <x:c r="H14" i="1"/>
  <x:c r="E17" i="1"/>
  <x:c r="G17" i="1"/>
  <x:c r="E18" i="1"/>
  <x:c r="E21" i="1"/>
  <x:c r="G21" i="1"/>
  <x:c r="E24" i="1"/>
  <x:c r="E27" i="1"/>
  <x:c r="F27" i="1"/>
  <x:c r="G27" i="1"/>
  <x:c r="H27" i="1"/>
  <x:c r="E28" i="1"/>
  <x:c r="F28" i="1"/>
  <x:c r="G28" i="1"/>
  <x:c r="H28" i="1"/>
  <x:c r="E29" i="1"/>
  <x:c r="F29" i="1"/>
  <x:c r="G29" i="1"/>
  <x:c r="H29" i="1"/>
  <x:c r="E30" i="1"/>
  <x:c r="F30" i="1"/>
  <x:c r="G30" i="1"/>
  <x:c r="H30" i="1"/>
  <x:c r="E33" i="1"/>
  <x:c r="F33" i="1"/>
  <x:c r="G33" i="1"/>
  <x:c r="H33" i="1"/>
  <x:c r="E34" i="1"/>
  <x:c r="F34" i="1"/>
  <x:c r="G34" i="1"/>
  <x:c r="H34" i="1"/>
  <x:c r="E35" i="1"/>
  <x:c r="F35" i="1"/>
  <x:c r="G35" i="1"/>
  <x:c r="H35" i="1"/>
  <x:c r="E38" i="1"/>
  <x:c r="G38" i="1"/>
  <x:c r="E41" i="1"/>
  <x:c r="G41" i="1"/>
  <x:c r="E42" i="1"/>
  <x:c r="G42" i="1"/>
  <x:c r="E43" i="1"/>
  <x:c r="G43" i="1"/>
  <x:c r="C45" i="1"/>
  <x:c r="C46" i="1"/>
  <x:c r="C47" i="1"/>
  <x:c r="C48" i="1"/>
  <x:c r="C49" i="1"/>
  <x:c r="D5" i="11"/>
  <x:c r="E5" i="11"/>
  <x:c r="D8" i="11"/>
  <x:c r="E8" i="11"/>
  <x:c r="D11" i="11"/>
  <x:c r="D14" i="11"/>
  <x:c r="E14" i="11"/>
  <x:c r="D15" i="11"/>
  <x:c r="E15" i="11"/>
  <x:c r="D16" i="11"/>
  <x:c r="E16" i="11"/>
  <x:c r="D17" i="11"/>
  <x:c r="E17" i="11"/>
  <x:c r="C20" i="11"/>
  <x:c r="E5" i="15"/>
  <x:c r="F5" i="15"/>
  <x:c r="G5" i="15"/>
  <x:c r="H5" i="15"/>
  <x:c r="E6" i="15"/>
  <x:c r="F6" i="15"/>
  <x:c r="G6" i="15"/>
  <x:c r="H6" i="15"/>
  <x:c r="E7" i="15"/>
  <x:c r="F7" i="15"/>
  <x:c r="G7" i="15"/>
  <x:c r="H7" i="15"/>
  <x:c r="E8" i="15"/>
  <x:c r="F8" i="15"/>
  <x:c r="G8" i="15"/>
  <x:c r="H8" i="15"/>
  <x:c r="E11" i="15"/>
  <x:c r="F11" i="15"/>
  <x:c r="G11" i="15"/>
  <x:c r="H11" i="15"/>
  <x:c r="E12" i="15"/>
  <x:c r="F12" i="15"/>
  <x:c r="G12" i="15"/>
  <x:c r="H12" i="15"/>
  <x:c r="E13" i="15"/>
  <x:c r="F13" i="15"/>
  <x:c r="G13" i="15"/>
  <x:c r="H13" i="15"/>
  <x:c r="E14" i="15"/>
  <x:c r="F14" i="15"/>
  <x:c r="G14" i="15"/>
  <x:c r="H14" i="15"/>
  <x:c r="E17" i="15"/>
  <x:c r="G17" i="15"/>
  <x:c r="E18" i="15"/>
  <x:c r="E21" i="15"/>
  <x:c r="G21" i="15"/>
  <x:c r="E24" i="15"/>
  <x:c r="E27" i="15"/>
  <x:c r="F27" i="15"/>
  <x:c r="G27" i="15"/>
  <x:c r="H27" i="15"/>
  <x:c r="E28" i="15"/>
  <x:c r="F28" i="15"/>
  <x:c r="G28" i="15"/>
  <x:c r="H28" i="15"/>
  <x:c r="E29" i="15"/>
  <x:c r="F29" i="15"/>
  <x:c r="G29" i="15"/>
  <x:c r="H29" i="15"/>
  <x:c r="E30" i="15"/>
  <x:c r="F30" i="15"/>
  <x:c r="G30" i="15"/>
  <x:c r="H30" i="15"/>
  <x:c r="E33" i="15"/>
  <x:c r="F33" i="15"/>
  <x:c r="G33" i="15"/>
  <x:c r="H33" i="15"/>
  <x:c r="E34" i="15"/>
  <x:c r="F34" i="15"/>
  <x:c r="G34" i="15"/>
  <x:c r="H34" i="15"/>
  <x:c r="E35" i="15"/>
  <x:c r="F35" i="15"/>
  <x:c r="G35" i="15"/>
  <x:c r="H35" i="15"/>
  <x:c r="E38" i="15"/>
  <x:c r="G38" i="15"/>
  <x:c r="E41" i="15"/>
  <x:c r="G41" i="15"/>
  <x:c r="E42" i="15"/>
  <x:c r="G42" i="15"/>
  <x:c r="E43" i="15"/>
  <x:c r="G43" i="15"/>
  <x:c r="C45" i="15"/>
  <x:c r="E18" i="16"/>
  <x:c r="F18" i="16"/>
  <x:c r="G18" i="16"/>
  <x:c r="J18" i="16"/>
  <x:c r="K18" i="16"/>
  <x:c r="L18" i="16"/>
  <x:c r="M18" i="16"/>
  <x:c r="N18" i="16"/>
  <x:c r="O18" i="16"/>
  <x:c r="P18" i="16"/>
  <x:c r="E19" i="16"/>
  <x:c r="F19" i="16"/>
  <x:c r="G19" i="16"/>
  <x:c r="J19" i="16"/>
  <x:c r="K19" i="16"/>
  <x:c r="L19" i="16"/>
  <x:c r="M19" i="16"/>
  <x:c r="N19" i="16"/>
  <x:c r="O19" i="16"/>
  <x:c r="P19" i="16"/>
  <x:c r="E20" i="16"/>
  <x:c r="F20" i="16"/>
  <x:c r="G20" i="16"/>
  <x:c r="J20" i="16"/>
  <x:c r="K20" i="16"/>
  <x:c r="L20" i="16"/>
  <x:c r="M20" i="16"/>
  <x:c r="N20" i="16"/>
  <x:c r="O20" i="16"/>
  <x:c r="P20" i="16"/>
  <x:c r="E21" i="16"/>
  <x:c r="F21" i="16"/>
  <x:c r="G21" i="16"/>
  <x:c r="J21" i="16"/>
  <x:c r="K21" i="16"/>
  <x:c r="L21" i="16"/>
  <x:c r="M21" i="16"/>
  <x:c r="N21" i="16"/>
  <x:c r="O21" i="16"/>
  <x:c r="P21" i="16"/>
  <x:c r="D22" i="16"/>
  <x:c r="E22" i="16"/>
  <x:c r="F22" i="16"/>
  <x:c r="G22" i="16"/>
  <x:c r="J22" i="16"/>
  <x:c r="K22" i="16"/>
  <x:c r="L22" i="16"/>
  <x:c r="M22" i="16"/>
  <x:c r="N22" i="16"/>
  <x:c r="O22" i="16"/>
  <x:c r="P22" i="16"/>
  <x:c r="E23" i="16"/>
  <x:c r="F23" i="16"/>
  <x:c r="G23" i="16"/>
  <x:c r="J23" i="16"/>
  <x:c r="K23" i="16"/>
  <x:c r="L23" i="16"/>
  <x:c r="M23" i="16"/>
  <x:c r="N23" i="16"/>
  <x:c r="O23" i="16"/>
  <x:c r="P23" i="16"/>
  <x:c r="E24" i="16"/>
  <x:c r="F24" i="16"/>
  <x:c r="G24" i="16"/>
  <x:c r="J24" i="16"/>
  <x:c r="K24" i="16"/>
  <x:c r="L24" i="16"/>
  <x:c r="M24" i="16"/>
  <x:c r="N24" i="16"/>
  <x:c r="O24" i="16"/>
  <x:c r="P24" i="16"/>
  <x:c r="E25" i="16"/>
  <x:c r="F25" i="16"/>
  <x:c r="G25" i="16"/>
  <x:c r="J25" i="16"/>
  <x:c r="K25" i="16"/>
  <x:c r="L25" i="16"/>
  <x:c r="M25" i="16"/>
  <x:c r="N25" i="16"/>
  <x:c r="O25" i="16"/>
  <x:c r="P25" i="16"/>
  <x:c r="E26" i="16"/>
  <x:c r="F26" i="16"/>
  <x:c r="G26" i="16"/>
  <x:c r="J26" i="16"/>
  <x:c r="K26" i="16"/>
  <x:c r="L26" i="16"/>
  <x:c r="M26" i="16"/>
  <x:c r="N26" i="16"/>
  <x:c r="O26" i="16"/>
  <x:c r="P26" i="16"/>
  <x:c r="E28" i="16"/>
  <x:c r="F28" i="16"/>
  <x:c r="G28" i="16"/>
  <x:c r="J28" i="16"/>
  <x:c r="K28" i="16"/>
  <x:c r="L28" i="16"/>
  <x:c r="M28" i="16"/>
  <x:c r="N28" i="16"/>
  <x:c r="O28" i="16"/>
  <x:c r="P28" i="16"/>
  <x:c r="E29" i="16"/>
  <x:c r="F29" i="16"/>
  <x:c r="G29" i="16"/>
  <x:c r="J29" i="16"/>
  <x:c r="K29" i="16"/>
  <x:c r="L29" i="16"/>
  <x:c r="M29" i="16"/>
  <x:c r="N29" i="16"/>
  <x:c r="O29" i="16"/>
  <x:c r="P29" i="16"/>
  <x:c r="F30" i="16"/>
  <x:c r="G30" i="16"/>
  <x:c r="J30" i="16"/>
  <x:c r="K30" i="16"/>
  <x:c r="L30" i="16"/>
  <x:c r="M30" i="16"/>
  <x:c r="N30" i="16"/>
  <x:c r="O30" i="16"/>
  <x:c r="P30" i="16"/>
  <x:c r="E31" i="16"/>
  <x:c r="F31" i="16"/>
  <x:c r="G31" i="16"/>
  <x:c r="J31" i="16"/>
  <x:c r="K31" i="16"/>
  <x:c r="L31" i="16"/>
  <x:c r="M31" i="16"/>
  <x:c r="N31" i="16"/>
  <x:c r="O31" i="16"/>
  <x:c r="P31" i="16"/>
  <x:c r="E32" i="16"/>
  <x:c r="F32" i="16"/>
  <x:c r="G32" i="16"/>
  <x:c r="J32" i="16"/>
  <x:c r="K32" i="16"/>
  <x:c r="L32" i="16"/>
  <x:c r="M32" i="16"/>
  <x:c r="N32" i="16"/>
  <x:c r="O32" i="16"/>
  <x:c r="P32" i="16"/>
  <x:c r="E33" i="16"/>
  <x:c r="F33" i="16"/>
  <x:c r="G33" i="16"/>
  <x:c r="J33" i="16"/>
  <x:c r="K33" i="16"/>
  <x:c r="L33" i="16"/>
  <x:c r="M33" i="16"/>
  <x:c r="N33" i="16"/>
  <x:c r="O33" i="16"/>
  <x:c r="P33" i="16"/>
  <x:c r="E34" i="16"/>
  <x:c r="F34" i="16"/>
  <x:c r="G34" i="16"/>
  <x:c r="J34" i="16"/>
  <x:c r="K34" i="16"/>
  <x:c r="L34" i="16"/>
  <x:c r="M34" i="16"/>
  <x:c r="N34" i="16"/>
  <x:c r="O34" i="16"/>
  <x:c r="P34" i="16"/>
  <x:c r="E35" i="16"/>
  <x:c r="F35" i="16"/>
  <x:c r="G35" i="16"/>
  <x:c r="J35" i="16"/>
  <x:c r="K35" i="16"/>
  <x:c r="L35" i="16"/>
  <x:c r="M35" i="16"/>
  <x:c r="N35" i="16"/>
  <x:c r="O35" i="16"/>
  <x:c r="P35" i="16"/>
  <x:c r="E36" i="16"/>
  <x:c r="F36" i="16"/>
  <x:c r="G36" i="16"/>
  <x:c r="J36" i="16"/>
  <x:c r="K36" i="16"/>
  <x:c r="L36" i="16"/>
  <x:c r="M36" i="16"/>
  <x:c r="N36" i="16"/>
  <x:c r="O36" i="16"/>
  <x:c r="P36" i="16"/>
  <x:c r="F38" i="16"/>
  <x:c r="G38" i="16"/>
  <x:c r="H38" i="16"/>
  <x:c r="J38" i="16"/>
  <x:c r="K38" i="16"/>
  <x:c r="L38" i="16"/>
  <x:c r="M38" i="16"/>
  <x:c r="N38" i="16"/>
  <x:c r="O38" i="16"/>
  <x:c r="P38" i="16"/>
  <x:c r="J39" i="16"/>
  <x:c r="K39" i="16"/>
  <x:c r="L39" i="16"/>
  <x:c r="M39" i="16"/>
  <x:c r="N39" i="16"/>
  <x:c r="O39" i="16"/>
  <x:c r="P39" i="16"/>
  <x:c r="J40" i="16"/>
  <x:c r="K40" i="16"/>
  <x:c r="L40" i="16"/>
  <x:c r="M40" i="16"/>
  <x:c r="N40" i="16"/>
  <x:c r="O40" i="16"/>
  <x:c r="P40" i="16"/>
  <x:c r="J41" i="16"/>
  <x:c r="K41" i="16"/>
  <x:c r="L41" i="16"/>
  <x:c r="M41" i="16"/>
  <x:c r="N41" i="16"/>
  <x:c r="O41" i="16"/>
  <x:c r="P41" i="16"/>
  <x:c r="J42" i="16"/>
  <x:c r="K42" i="16"/>
  <x:c r="L42" i="16"/>
  <x:c r="M42" i="16"/>
  <x:c r="N42" i="16"/>
  <x:c r="O42" i="16"/>
  <x:c r="P42" i="16"/>
  <x:c r="J47" i="16"/>
  <x:c r="K47" i="16"/>
  <x:c r="L47" i="16"/>
  <x:c r="M47" i="16"/>
  <x:c r="N47" i="16"/>
  <x:c r="O47" i="16"/>
  <x:c r="P47" i="16"/>
  <x:c r="J48" i="16"/>
  <x:c r="K48" i="16"/>
  <x:c r="L48" i="16"/>
  <x:c r="M48" i="16"/>
  <x:c r="N48" i="16"/>
  <x:c r="O48" i="16"/>
  <x:c r="P48" i="16"/>
  <x:c r="J49" i="16"/>
  <x:c r="K49" i="16"/>
  <x:c r="L49" i="16"/>
  <x:c r="M49" i="16"/>
  <x:c r="N49" i="16"/>
  <x:c r="O49" i="16"/>
  <x:c r="P49" i="16"/>
  <x:c r="J50" i="16"/>
  <x:c r="K50" i="16"/>
  <x:c r="L50" i="16"/>
  <x:c r="M50" i="16"/>
  <x:c r="N50" i="16"/>
  <x:c r="O50" i="16"/>
  <x:c r="P50" i="16"/>
  <x:c r="J51" i="16"/>
  <x:c r="K51" i="16"/>
  <x:c r="L51" i="16"/>
  <x:c r="M51" i="16"/>
  <x:c r="N51" i="16"/>
  <x:c r="O51" i="16"/>
  <x:c r="P51" i="16"/>
  <x:c r="J52" i="16"/>
  <x:c r="K52" i="16"/>
  <x:c r="L52" i="16"/>
  <x:c r="M52" i="16"/>
  <x:c r="N52" i="16"/>
  <x:c r="O52" i="16"/>
  <x:c r="P52" i="16"/>
  <x:c r="J53" i="16"/>
  <x:c r="K53" i="16"/>
  <x:c r="L53" i="16"/>
  <x:c r="M53" i="16"/>
  <x:c r="N53" i="16"/>
  <x:c r="O53" i="16"/>
  <x:c r="P53" i="16"/>
  <x:c r="J54" i="16"/>
  <x:c r="K54" i="16"/>
  <x:c r="L54" i="16"/>
  <x:c r="M54" i="16"/>
  <x:c r="N54" i="16"/>
  <x:c r="O54" i="16"/>
  <x:c r="P54" i="16"/>
  <x:c r="J55" i="16"/>
  <x:c r="K55" i="16"/>
  <x:c r="L55" i="16"/>
  <x:c r="M55" i="16"/>
  <x:c r="N55" i="16"/>
  <x:c r="O55" i="16"/>
  <x:c r="P55" i="16"/>
  <x:c r="J56" i="16"/>
  <x:c r="K56" i="16"/>
  <x:c r="L56" i="16"/>
  <x:c r="M56" i="16"/>
  <x:c r="N56" i="16"/>
  <x:c r="O56" i="16"/>
  <x:c r="P56" i="16"/>
  <x:c r="J57" i="16"/>
  <x:c r="K57" i="16"/>
  <x:c r="L57" i="16"/>
  <x:c r="M57" i="16"/>
  <x:c r="N57" i="16"/>
  <x:c r="O57" i="16"/>
  <x:c r="P57" i="16"/>
  <x:c r="J58" i="16"/>
  <x:c r="K58" i="16"/>
  <x:c r="L58" i="16"/>
  <x:c r="M58" i="16"/>
  <x:c r="N58" i="16"/>
  <x:c r="O58" i="16"/>
  <x:c r="P58" i="16"/>
  <x:c r="J59" i="16"/>
  <x:c r="K59" i="16"/>
  <x:c r="L59" i="16"/>
  <x:c r="M59" i="16"/>
  <x:c r="N59" i="16"/>
  <x:c r="O59" i="16"/>
  <x:c r="P59" i="16"/>
  <x:c r="J60" i="16"/>
  <x:c r="K60" i="16"/>
  <x:c r="L60" i="16"/>
  <x:c r="M60" i="16"/>
  <x:c r="N60" i="16"/>
  <x:c r="O60" i="16"/>
  <x:c r="P60" i="16"/>
  <x:c r="J61" i="16"/>
  <x:c r="K61" i="16"/>
  <x:c r="L61" i="16"/>
  <x:c r="M61" i="16"/>
  <x:c r="N61" i="16"/>
  <x:c r="O61" i="16"/>
  <x:c r="P61" i="16"/>
  <x:c r="J62" i="16"/>
  <x:c r="K62" i="16"/>
  <x:c r="L62" i="16"/>
  <x:c r="M62" i="16"/>
  <x:c r="N62" i="16"/>
  <x:c r="O62" i="16"/>
  <x:c r="P62" i="16"/>
  <x:c r="J63" i="16"/>
  <x:c r="K63" i="16"/>
  <x:c r="L63" i="16"/>
  <x:c r="M63" i="16"/>
  <x:c r="N63" i="16"/>
  <x:c r="O63" i="16"/>
  <x:c r="P63" i="16"/>
</x:calcChain>
</file>

<file path=xl/sharedStrings.xml><?xml version="1.0" encoding="utf-8"?>
<x:sst xmlns:x="http://schemas.openxmlformats.org/spreadsheetml/2006/main">
  <x:si>
    <x:t>datum</x:t>
  </x:si>
  <x:si>
    <x:t>wijziging</x:t>
  </x:si>
  <x:si>
    <x:t>Versie</x:t>
  </x:si>
  <x:si>
    <x:t>1e helft 2025</x:t>
  </x:si>
  <x:si>
    <x:t>alle variabele invoer cellen op nul gezet, gFF zekeringen toegevoegd, werkblad met OVL lengtes toegevoegd</x:t>
  </x:si>
  <x:si>
    <x:t>1.0</x:t>
  </x:si>
  <x:si>
    <x:t>de nieuwe tabellen voor toekomstige aansluitwaarden kleinzakelijk en grootzakelijk toegevoegd op werkbladen ontwerpstroom_trafo en _kabel</x:t>
  </x:si>
  <x:si>
    <x:t>2.0</x:t>
  </x:si>
  <x:si>
    <x:t>Ontwerpstroom transformator</x:t>
  </x:si>
  <x:si>
    <x:t>Aantal van eenheid</x:t>
  </x:si>
  <x:si>
    <x:t>Type wooneenheid</x:t>
  </x:si>
  <x:si>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verbruik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</x:si>
  <x:si>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opwek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</x:si>
  <x:si>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</x:si>
  <x:si>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</x:si>
  <x:si>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</x:si>
  <x:si>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kW</x:t>
    </x:r>
  </x:si>
  <x:si>
    <x:t>Type 1: Laagbouw huishoudens met een individuele warmtepomp en tapwaterbuffer</x:t>
  </x:si>
  <x:si>
    <x:t xml:space="preserve">Vul alleen de </x:t>
  </x:si>
  <x:si>
    <x:t>vlakken in</x:t>
  </x:si>
  <x:si>
    <x:t xml:space="preserve">  Vrijstaand</x:t>
  </x:si>
  <x:si>
    <x:t xml:space="preserve">  Twee onder een kap</x:t>
  </x:si>
  <x:si>
    <x:t xml:space="preserve">  Rijtjeswoning</x:t>
  </x:si>
  <x:si>
    <x:t xml:space="preserve">  Onbekend</x:t>
  </x:si>
  <x:si>
    <x:t>Type 2: Laagbouw huishoudens met stads- of gasverwarming</x:t>
  </x:si>
  <x:si>
    <x:t xml:space="preserve">  Twee onder een kap</x:t>
  </x:si>
  <x:si>
    <x:t>Type 3: Hoogbouw huishoudens met collectieve warmtepomp, stads- of gasverwarming</x:t>
  </x:si>
  <x:si>
    <x:t xml:space="preserve">  Appartement incl. publiek laden</x:t>
  </x:si>
  <x:si>
    <x:t xml:space="preserve">  Collectieve warmtepomp - elektrisch vermogen</x:t>
  </x:si>
  <x:si>
    <x:t>Type 4: Hoogbouw huishoudens met een individuele warmtepomp</x:t>
  </x:si>
  <x:si>
    <x:t>Type 5: Laag- of hoogbouw met alternatieve verwarmingscomponenten (toeslag)</x:t>
  </x:si>
  <x:si>
    <x:t xml:space="preserve">  Aantal  * elektrisch vermogen verwarmingscomponent *  gelijktijdigheidsfactor tabel type 5</x:t>
  </x:si>
  <x:si>
    <x:t>Type 6: Kleinzakelijk (niet-huishoudelijk t/m 3x80A)</x:t>
  </x:si>
  <x:si>
    <x:t xml:space="preserve">  Toekomstige aansluitwaarde: 3x25A</x:t>
  </x:si>
  <x:si>
    <x:t xml:space="preserve">  Toekomstige aansluitwaarde: 3x35A t/m 3x40A </x:t>
  </x:si>
  <x:si>
    <x:t xml:space="preserve">  Toekomstige aansluitwaarde: 3x50A</x:t>
  </x:si>
  <x:si>
    <x:t xml:space="preserve">  Toekomstige aansluitwaarde: 3x63A t/m 3x80A </x:t>
  </x:si>
  <x:si>
    <x:t>Toekomstige aansluitwaarden kleinzakelijk en grootverbruik:</x:t>
  </x:si>
  <x:si>
    <x:t>Type 7: Grootverbruik LS (eigen richting &gt;3x80A)</x:t>
  </x:si>
  <x:si>
    <x:t xml:space="preserve">  Toekomstige aansluitwaarde: 3x160A</x:t>
  </x:si>
  <x:si>
    <x:t xml:space="preserve">  Toekomstige aansluitwaarde: 3x250A</x:t>
  </x:si>
  <x:si>
    <x:t xml:space="preserve">  Toekomstige aansluitwaarde: overig</x:t>
  </x:si>
  <x:si>
    <x:t>Type 8: Netbewust publiek laden</x:t>
  </x:si>
  <x:si>
    <x:t xml:space="preserve">  Aansluiting 3x25A</x:t>
  </x:si>
  <x:si>
    <x:t>Type 9: Straatmeubilair</x:t>
  </x:si>
  <x:si>
    <x:t xml:space="preserve">  Aansluiting 3x25A </x:t>
  </x:si>
  <x:si>
    <x:t xml:space="preserve">  Aansluiting 3x40A t/m 3x50A</x:t>
  </x:si>
  <x:si>
    <x:t xml:space="preserve">  Aansluiting 3x63A t/m 3x80A</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</x:si>
  <x:si>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</x:si>
  <x:si>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</x:si>
  <x:si>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(kW)</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</x:si>
  <x:si>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(kW)</x:t>
    </x:r>
  </x:si>
  <x:si>
    <x:t>Minimaal aantal benodigde netstations met een 630kVA transformator</x:t>
  </x:si>
  <x:si>
    <x:t>Ontwerpstroom kabel</x:t>
  </x:si>
  <x:si>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</x:si>
  <x:si>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</x:si>
  <x:si>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</x:si>
  <x:si>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kW</x:t>
    </x:r>
  </x:si>
  <x:si>
    <x:t>Totale ontwerpstroom op de kabel (A)</x:t>
  </x:si>
  <x:si>
    <x:t>Ontwerpstroom stijgleiding</x:t>
  </x:si>
  <x:si>
    <x:t>Ontwerpstroom per eenheid</x:t>
  </x:si>
  <x:si>
    <x:t>Totaal op kabelniveau in A</x:t>
  </x:si>
  <x:si>
    <x:t>Totaal op kabelniveau in kW</x:t>
  </x:si>
  <x:si>
    <x:t xml:space="preserve">  Appartement</x:t>
  </x:si>
  <x:si>
    <x:t xml:space="preserve">  Toekomstige aansluitwaarde: 3x25A </x:t>
  </x:si>
  <x:si>
    <x:t>Totale ontwerpstroom op de stijgleiding (A)</x:t>
  </x:si>
  <x:si>
    <x:t xml:space="preserve">De lengte van de 16Cu stijgleiding is o.b.v. 1% spanningsvariatie (en belasting evenredig verdeeld) beperkt tot de maximale lengtes in onderstaande tabel. </x:t>
  </x:si>
  <x:si>
    <x:t>Indien de lengte van de stijgleiding uit bovenstaande tabel niet toereikend is dan kan hiervan worden afgeweken door het maken van een GAIA berekening. In deze GAIA berekening moet dan worden aangetoond dat de spanningsvariatie van het hoofdnet en stijgleiding &lt; 5%.</x:t>
  </x:si>
  <x:si>
    <x:t>Verschillende doorsnedes in dezelfde kabelgroep! Let op: Alleen de gele velden zijn invoervelden !</x:t>
  </x:si>
  <x:si>
    <x:t>Invoervelden</x:t>
  </x:si>
  <x:si>
    <x:t xml:space="preserve">evenredig verdeelde belasting over de kabel (50%), gebaseerd op tabellen 6 en 8 uit kader Eea-0205.K </x:t>
  </x:si>
  <x:si>
    <x:t>er moet wel sprake zijn van zogenaamde kabelverjonging, d.w.z. de zwaardere kabels aan het begin van de kabelgroep en de dunnere kabels op het eind van de kabelgroep.</x:t>
  </x:si>
  <x:si>
    <x:t>ontwerpstroom</x:t>
  </x:si>
  <x:si>
    <x:t>t/m 57A</x:t>
  </x:si>
  <x:si>
    <x:t>t/m 72A</x:t>
  </x:si>
  <x:si>
    <x:t>t/m 90A</x:t>
  </x:si>
  <x:si>
    <x:t>t/m 113A</x:t>
  </x:si>
  <x:si>
    <x:t>t/m 144A</x:t>
  </x:si>
  <x:si>
    <x:t>t/m 180A</x:t>
  </x:si>
  <x:si>
    <x:t>t/m 225A</x:t>
  </x:si>
  <x:si>
    <x:t>smeltveiligheid Inom</x:t>
  </x:si>
  <x:si>
    <x:t>63A</x:t>
  </x:si>
  <x:si>
    <x:t>80A</x:t>
  </x:si>
  <x:si>
    <x:t>100A</x:t>
  </x:si>
  <x:si>
    <x:t>125A</x:t>
  </x:si>
  <x:si>
    <x:t>160A</x:t>
  </x:si>
  <x:si>
    <x:t>200A</x:t>
  </x:si>
  <x:si>
    <x:t>250A</x:t>
  </x:si>
  <x:si>
    <x:t>invoer</x:t>
  </x:si>
  <x:si>
    <x:t>waarden per 1000m</x:t>
  </x:si>
  <x:si>
    <x:t>waarden o.b.v. kabellengte</x:t>
  </x:si>
  <x:si>
    <x:t xml:space="preserve">kabellengtes </x:t>
  </x:si>
  <x:si>
    <x:t>ohm</x:t>
  </x:si>
  <x:si>
    <x:t>A</x:t>
  </x:si>
  <x:si>
    <x:t>per doorsnede</x:t>
  </x:si>
  <x:si>
    <x:t>Name</x:t>
  </x:si>
  <x:si>
    <x:t>R</x:t>
  </x:si>
  <x:si>
    <x:t>X</x:t>
  </x:si>
  <x:si>
    <x:t>Z (berekend)</x:t>
  </x:si>
  <x:si>
    <x:t>in meters</x:t>
  </x:si>
  <x:si>
    <x:t>4*240mm2 Al</x:t>
  </x:si>
  <x:si>
    <x:t>4*150mm2 Al</x:t>
  </x:si>
  <x:si>
    <x:t>4*120mm2 Al</x:t>
  </x:si>
  <x:si>
    <x:t>4*95mm2 Al</x:t>
  </x:si>
  <x:si>
    <x:t>4*70mm2 Al</x:t>
  </x:si>
  <x:si>
    <x:t>4*50mm2 Al</x:t>
  </x:si>
  <x:si>
    <x:t>4*35mm2 Al</x:t>
  </x:si>
  <x:si>
    <x:t>4*25mm2 Al</x:t>
  </x:si>
  <x:si>
    <x:t>4*16mm2 Al</x:t>
  </x:si>
  <x:si>
    <x:t>4*185mm2 Cu</x:t>
  </x:si>
  <x:si>
    <x:t>4*150mm2 Cu</x:t>
  </x:si>
  <x:si>
    <x:t>4*120mm2 Cu</x:t>
  </x:si>
  <x:si>
    <x:t>4*95mm2 Cu</x:t>
  </x:si>
  <x:si>
    <x:t>4*70mm2 Cu</x:t>
  </x:si>
  <x:si>
    <x:t>4*50mm2 Cu</x:t>
  </x:si>
  <x:si>
    <x:t>4*35mm2 Cu</x:t>
  </x:si>
  <x:si>
    <x:t>4*25mm2 Cu</x:t>
  </x:si>
  <x:si>
    <x:t>4*16mm2 Cu</x:t>
  </x:si>
  <x:si>
    <x:t>totale samengestelde impedantie</x:t>
  </x:si>
  <x:si>
    <x:t xml:space="preserve">   t.a.v. totale impedantie passieve trafo en gG</x:t>
  </x:si>
  <x:si>
    <x:t xml:space="preserve">   t.a.v. totale impedantie regeltrafo en gFF</x:t>
  </x:si>
  <x:si>
    <x:t xml:space="preserve">   t.a.v. ontwerpstroom</x:t>
  </x:si>
  <x:si>
    <x:t>hulptabel</x:t>
  </x:si>
  <x:si>
    <x:r>
      <x:rPr>
        <x:b/>
        <x:vertAlign val="baseline"/>
        <x:sz val="14"/>
        <x:color theme="1"/>
        <x:rFont val="Calibri"/>
        <x:family val="2"/>
        <x:scheme val="minor"/>
      </x:rPr>
      <x:t xml:space="preserve">   voldoet aan beide / toegestaan met</x:t>
    </x:r>
    <x:r>
      <x:rPr>
        <x:b/>
        <x:u val="single"/>
        <x:vertAlign val="baseline"/>
        <x:sz val="14"/>
        <x:color theme="1"/>
        <x:rFont val="Calibri"/>
        <x:family val="2"/>
        <x:scheme val="minor"/>
      </x:rPr>
      <x:t xml:space="preserve"> passieve transformator en gG zekeringen?</x:t>
    </x:r>
  </x:si>
  <x:si>
    <x:r>
      <x:rPr>
        <x:b/>
        <x:vertAlign val="baseline"/>
        <x:sz val="14"/>
        <x:color theme="1"/>
        <x:rFont val="Calibri"/>
        <x:family val="2"/>
        <x:scheme val="minor"/>
      </x:rPr>
      <x:t xml:space="preserve">   voldoet aan beide / toegestaan met </x:t>
    </x:r>
    <x:r>
      <x:rPr>
        <x:b/>
        <x:u val="single"/>
        <x:vertAlign val="baseline"/>
        <x:sz val="14"/>
        <x:color theme="1"/>
        <x:rFont val="Calibri"/>
        <x:family val="2"/>
        <x:scheme val="minor"/>
      </x:rPr>
      <x:t>regeltransformator en gFF zekeringen?</x:t>
    </x:r>
  </x:si>
  <x:si>
    <x:t>maximale lengte OVL kabels (uitgebreide tabel, max lengtes voor 3-aderige kabels zijn gelijkwaardig aan onderstaande 4-aderige)</x:t>
  </x:si>
  <x:si>
    <x:t>Kabeltype</x:t>
  </x:si>
  <x:si>
    <x:t>Zekering gG [A]</x:t>
  </x:si>
  <x:si>
    <x:t>Max. lengte [m]</x:t>
  </x:si>
  <x:si>
    <x:t>Rc [Ohn] circuitimpedantie</x:t>
  </x:si>
  <x:si>
    <x:t>Rf [Ohm] fase-impedantie</x:t>
  </x:si>
  <x:si>
    <x:t>Uf [V]</x:t>
  </x:si>
  <x:si>
    <x:t>If [A]</x:t>
  </x:si>
  <x:si>
    <x:t>t_uit [s]</x:t>
  </x:si>
  <x:si>
    <x:t>VO-YMvKas 4x10 mm2 Cu</x:t>
  </x:si>
  <x:si>
    <x:t>4,5 - 5</x:t>
  </x:si>
  <x:si>
    <x:t>VG-YMvKas 4x16 mm2 Cu</x:t>
  </x:si>
  <x:si>
    <x:t>VMvK 4x16 mm2 Cu</x:t>
  </x:si>
  <x:si>
    <x:t>VO-YMvKas 4x6 mm2 Cu</x:t>
  </x:si>
  <x:si>
    <x:t>VMvK 4x6 mm2 Cu</x:t>
  </x:si>
  <x:si>
    <x:t>VMvK 4x10 mm2 Cu</x:t>
  </x:si>
  <x:si>
    <x:t xml:space="preserve">4,5 -5 </x:t>
  </x:si>
  <x:si>
    <x:t>VMvK 4x2,5 mm2 Cu</x:t>
  </x:si>
  <x:si>
    <x:t xml:space="preserve">4,5 - 5 </x:t>
  </x:si>
  <x:si>
    <x:t>4,5-5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</x:si>
</x:sst>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6">
    <x:numFmt numFmtId="43" formatCode="_ * #,##0.00_ ;_ * \-#,##0.00_ ;_ * &quot;-&quot;??_ ;_ @_ "/>
    <x:numFmt numFmtId="164" formatCode="0.0"/>
    <x:numFmt numFmtId="165" formatCode="0.000"/>
    <x:numFmt numFmtId="166" formatCode="_ * #,##0_ ;_ * \-#,##0_ ;_ * &quot;-&quot;??_ ;_ @_ "/>
    <x:numFmt numFmtId="167" formatCode="_ * #,##0.000_ ;_ * \-#,##0.000_ ;_ * &quot;-&quot;???_ ;_ @_ "/>
    <x:numFmt numFmtId="168" formatCode="0.00"/>
  </x:numFmts>
  <x:fonts count="20" x14ac:knownFonts="1">
    <x:font>
      <x:sz val="11"/>
      <x:color theme="1"/>
      <x:name val="Calibri"/>
      <x:family val="2"/>
      <x:scheme val="minor"/>
    </x:font>
    <x:font>
      <x:sz val="9"/>
      <x:color rgb="FF000000"/>
      <x:name val="Segoe UI"/>
      <x:family val="2"/>
    </x:font>
    <x:font>
      <x:i/>
      <x:sz val="11"/>
      <x:color theme="1"/>
      <x:name val="Calibri"/>
      <x:family val="2"/>
      <x:scheme val="minor"/>
    </x:font>
    <x:font>
      <x:b/>
      <x:sz val="11"/>
      <x:color theme="1"/>
      <x:name val="Calibri"/>
      <x:family val="2"/>
      <x:scheme val="minor"/>
    </x:font>
    <x:font>
      <x:b/>
      <x:sz val="12"/>
      <x:color theme="1"/>
      <x:name val="Calibri"/>
      <x:family val="2"/>
      <x:scheme val="minor"/>
    </x:font>
    <x:font>
      <x:b/>
      <x:sz val="14"/>
      <x:color theme="1"/>
      <x:name val="Calibri"/>
      <x:family val="2"/>
      <x:scheme val="minor"/>
    </x:font>
    <x:font>
      <x:sz val="9"/>
      <x:color theme="1"/>
      <x:name val="Verdana"/>
      <x:family val="2"/>
    </x:font>
    <x:font>
      <x:sz val="11"/>
      <x:color theme="1"/>
      <x:name val="Calibri"/>
      <x:family val="2"/>
      <x:scheme val="minor"/>
    </x:font>
    <x:font>
      <x:b/>
      <x:sz val="18"/>
      <x:color theme="1"/>
      <x:name val="Calibri"/>
      <x:family val="2"/>
      <x:scheme val="minor"/>
    </x:font>
    <x:font>
      <x:b/>
      <x:sz val="16"/>
      <x:color theme="1"/>
      <x:name val="Calibri"/>
      <x:family val="2"/>
      <x:scheme val="minor"/>
    </x:font>
    <x:font>
      <x:b/>
      <x:sz val="14"/>
      <x:color rgb="FFFF0000"/>
      <x:name val="Calibri"/>
      <x:family val="2"/>
      <x:scheme val="minor"/>
    </x:font>
    <x:font>
      <x:b/>
      <x:sz val="11"/>
      <x:name val="Calibri"/>
      <x:family val="2"/>
      <x:scheme val="minor"/>
    </x:font>
    <x:font>
      <x:b/>
      <x:u/>
      <x:sz val="11"/>
      <x:color theme="1"/>
      <x:name val="Calibri"/>
      <x:family val="2"/>
      <x:scheme val="minor"/>
    </x:font>
    <x:font>
      <x:b/>
      <x:u/>
      <x:sz val="12"/>
      <x:color theme="1"/>
      <x:name val="Calibri"/>
      <x:family val="2"/>
      <x:scheme val="minor"/>
    </x:font>
    <x:font>
      <x:b/>
      <x:u/>
      <x:sz val="14"/>
      <x:color theme="1"/>
      <x:name val="Calibri"/>
      <x:family val="2"/>
      <x:scheme val="minor"/>
    </x:font>
    <x:font>
      <x:sz val="11"/>
      <x:color rgb="FFFF0000"/>
      <x:name val="Calibri"/>
      <x:family val="2"/>
      <x:scheme val="minor"/>
    </x:font>
    <x:font>
      <x:sz val="11"/>
      <x:name val="Calibri"/>
      <x:family val="2"/>
      <x:scheme val="minor"/>
    </x:font>
    <x:font>
      <x:sz val="9"/>
      <x:color rgb="FFFF0000"/>
      <x:name val="Arial"/>
      <x:family val="2"/>
    </x:font>
    <x:font>
      <x:sz val="11"/>
      <x:color theme="1"/>
      <x:name val="Aptos"/>
      <x:family val="2"/>
      <x:charset val="1"/>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rgb="FF92D050"/>
        <x:bgColor indexed="64"/>
      </x:patternFill>
    </x:fill>
    <x:fill>
      <x:patternFill patternType="lightDown"/>
    </x:fill>
    <x:fill>
      <x:patternFill patternType="solid">
        <x:fgColor theme="0" tint="-0.14999847407452621"/>
        <x:bgColor indexed="64"/>
      </x:patternFill>
    </x:fill>
    <x:fill>
      <x:patternFill patternType="solid">
        <x:fgColor theme="3" tint="0.59999389629810485"/>
        <x:bgColor indexed="64"/>
      </x:patternFill>
    </x:fill>
    <x:fill>
      <x:patternFill patternType="solid">
        <x:fgColor rgb="FFFFC000"/>
        <x:bgColor indexed="64"/>
      </x:patternFill>
    </x:fill>
    <x:fill>
      <x:patternFill patternType="solid">
        <x:fgColor theme="9" tint="0.39997558519241921"/>
        <x:bgColor indexed="64"/>
      </x:patternFill>
    </x:fill>
    <x:fill>
      <x:patternFill patternType="solid">
        <x:fgColor theme="2"/>
        <x:bgColor indexed="64"/>
      </x:patternFill>
    </x:fill>
  </x:fills>
  <x:borders count="42">
    <x:border>
      <x:left/>
      <x:right/>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style="thin">
        <x:color indexed="64"/>
      </x:right>
      <x:top/>
      <x:bottom/>
      <x:diagonal/>
    </x:border>
    <x:border>
      <x:left style="thin">
        <x:color indexed="64"/>
      </x:left>
      <x:right/>
      <x:top/>
      <x:bottom/>
      <x:diagonal/>
    </x:border>
    <x:border>
      <x:left/>
      <x:right style="thin">
        <x:color indexed="64"/>
      </x:right>
      <x:top/>
      <x:bottom/>
      <x:diagonal/>
    </x:border>
    <x:border>
      <x:left style="thin">
        <x:color indexed="64"/>
      </x:left>
      <x:right style="thin">
        <x:color indexed="64"/>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medium">
        <x:color indexed="64"/>
      </x:right>
      <x:top/>
      <x:bottom style="thin">
        <x:color indexed="64"/>
      </x:bottom>
      <x:diagonal/>
    </x:border>
    <x:border>
      <x:left style="medium">
        <x:color indexed="64"/>
      </x:left>
      <x:right/>
      <x:top/>
      <x:bottom/>
      <x:diagonal/>
    </x:border>
    <x:border>
      <x:left/>
      <x:right/>
      <x:top style="thin">
        <x:color indexed="64"/>
      </x:top>
      <x:bottom/>
      <x:diagonal/>
    </x:border>
    <x:border>
      <x:left/>
      <x:right style="thin">
        <x:color indexed="64"/>
      </x:right>
      <x:top style="thin">
        <x:color indexed="64"/>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medium">
        <x:color indexed="64"/>
      </x:right>
      <x:top style="medium">
        <x:color indexed="64"/>
      </x:top>
      <x:bottom/>
      <x:diagonal/>
    </x:border>
    <x:border>
      <x:left style="thin">
        <x:color indexed="64"/>
      </x:left>
      <x:right style="medium">
        <x:color indexed="64"/>
      </x:right>
      <x:top/>
      <x:bottom/>
      <x:diagonal/>
    </x:border>
    <x:border>
      <x:left style="thin">
        <x:color indexed="64"/>
      </x:left>
      <x:right style="medium">
        <x:color indexed="64"/>
      </x:right>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style="thin">
        <x:color indexed="64"/>
      </x:right>
      <x:top style="medium">
        <x:color indexed="64"/>
      </x:top>
      <x:bottom style="medium">
        <x:color indexed="64"/>
      </x:bottom>
      <x:diagonal/>
    </x:border>
    <x:border>
      <x:left style="thin">
        <x:color indexed="64"/>
      </x:left>
      <x:right style="thin">
        <x:color indexed="64"/>
      </x:right>
      <x:top style="medium">
        <x:color indexed="64"/>
      </x:top>
      <x:bottom style="medium">
        <x:color indexed="64"/>
      </x:bottom>
      <x:diagonal/>
    </x:border>
    <x:border>
      <x:left style="thin">
        <x:color indexed="64"/>
      </x:left>
      <x:right style="medium">
        <x:color indexed="64"/>
      </x:right>
      <x:top style="medium">
        <x:color indexed="64"/>
      </x:top>
      <x:bottom style="medium">
        <x:color indexed="64"/>
      </x:bottom>
      <x:diagonal/>
    </x:border>
    <x:border>
      <x:left style="medium">
        <x:color indexed="64"/>
      </x:left>
      <x:right style="thin">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medium">
        <x:color indexed="64"/>
      </x:left>
      <x:right style="thin">
        <x:color indexed="64"/>
      </x:right>
      <x:top style="thin">
        <x:color indexed="64"/>
      </x:top>
      <x:bottom style="thin">
        <x:color indexed="64"/>
      </x:bottom>
      <x:diagonal/>
    </x:border>
    <x:border>
      <x:left style="thin">
        <x:color indexed="64"/>
      </x:left>
      <x:right style="medium">
        <x:color indexed="64"/>
      </x:right>
      <x:top style="thin">
        <x:color indexed="64"/>
      </x:top>
      <x:bottom style="thin">
        <x:color indexed="64"/>
      </x:bottom>
      <x:diagonal/>
    </x:border>
    <x:border>
      <x:left style="medium">
        <x:color indexed="64"/>
      </x:left>
      <x:right style="thin">
        <x:color indexed="64"/>
      </x:right>
      <x:top style="thin">
        <x:color indexed="64"/>
      </x:top>
      <x:bottom style="medium">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thin">
        <x:color indexed="64"/>
      </x:left>
      <x:right/>
      <x:top style="thin">
        <x:color indexed="64"/>
      </x:top>
      <x:bottom/>
      <x:diagonal/>
    </x:border>
  </x:borders>
  <x:cellStyleXfs count="112">
    <x:xf numFmtId="0" fontId="0" fillId="0" borderId="0"/>
    <x:xf numFmtId="43" fontId="7" fillId="0" borderId="0" applyFont="0" applyFill="0" applyBorder="0" applyAlignment="0" applyProtection="0"/>
    <x:xf numFmtId="0" fontId="3"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1"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 fontId="3" fillId="0" borderId="0" applyNumberFormat="1" applyFill="1" applyBorder="0" applyAlignment="1" applyProtection="1">
      <x:protection locked="1" hidden="0"/>
    </x:xf>
    <x:xf numFmtId="1" fontId="0" fillId="4"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3" fillId="3" borderId="0" applyNumberFormat="1" applyFill="0" applyBorder="0" applyAlignment="1" applyProtection="1">
      <x:protection locked="1" hidden="0"/>
    </x:xf>
    <x:xf numFmtId="1" fontId="0" fillId="3"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64" fontId="3" fillId="2" borderId="0" applyNumberFormat="1" applyFill="0" applyBorder="0" applyAlignment="1" applyProtection="1">
      <x:protection locked="1" hidden="0"/>
    </x:xf>
    <x:xf numFmtId="1" fontId="3" fillId="2" borderId="0" applyNumberFormat="1" applyFill="0" applyBorder="0" applyAlignment="1" applyProtection="1">
      <x:protection locked="1" hidden="0"/>
    </x:xf>
    <x:xf numFmtId="164" fontId="3" fillId="0" borderId="0" applyNumberFormat="1" applyFill="1" applyBorder="0" applyAlignment="1" applyProtection="1">
      <x:protection locked="1" hidden="0"/>
    </x:xf>
    <x:xf numFmtId="2" fontId="3"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4" fillId="0" borderId="27" applyNumberFormat="1" applyFill="1" applyBorder="1" applyAlignment="1" applyProtection="1">
      <x:protection locked="1" hidden="0"/>
    </x:xf>
    <x:xf numFmtId="0" fontId="4" fillId="0" borderId="28" applyNumberFormat="1" applyFill="1" applyBorder="1" applyAlignment="1" applyProtection="1">
      <x:protection locked="1" hidden="0"/>
    </x:xf>
    <x:xf numFmtId="0" fontId="4" fillId="0" borderId="29" applyNumberFormat="1" applyFill="1" applyBorder="1" applyAlignment="1" applyProtection="1">
      <x:protection locked="1" hidden="0"/>
    </x:xf>
    <x:xf numFmtId="0" fontId="3" fillId="0" borderId="30" applyNumberFormat="1" applyFill="1" applyBorder="1" applyAlignment="1" applyProtection="1">
      <x:protection locked="1" hidden="0"/>
    </x:xf>
    <x:xf numFmtId="0" fontId="3" fillId="0" borderId="31" applyNumberFormat="1" applyFill="1" applyBorder="1" applyAlignment="1" applyProtection="1">
      <x:protection locked="1" hidden="0"/>
    </x:xf>
    <x:xf numFmtId="0" fontId="3" fillId="0" borderId="32" applyNumberFormat="1" applyFill="1" applyBorder="1" applyAlignment="1" applyProtection="1">
      <x:protection locked="1" hidden="0"/>
    </x:xf>
    <x:xf numFmtId="0" fontId="0" fillId="0" borderId="33" applyNumberFormat="1" applyFill="1" applyBorder="1" applyAlignment="1" applyProtection="1">
      <x:protection locked="1" hidden="0"/>
    </x:xf>
    <x:xf numFmtId="0" fontId="0" fillId="0" borderId="34" applyNumberFormat="1" applyFill="1" applyBorder="1" applyAlignment="1" applyProtection="1">
      <x:protection locked="1" hidden="0"/>
    </x:xf>
    <x:xf numFmtId="0" fontId="16" fillId="0" borderId="34" applyNumberFormat="1" applyFill="1" applyBorder="1" applyAlignment="1" applyProtection="1">
      <x:protection locked="1" hidden="0"/>
    </x:xf>
    <x:xf numFmtId="0" fontId="0" fillId="0" borderId="35" applyNumberFormat="1" applyFill="1" applyBorder="1" applyAlignment="1" applyProtection="1">
      <x:protection locked="1" hidden="0"/>
    </x:xf>
    <x:xf numFmtId="0" fontId="0" fillId="0" borderId="36" applyNumberFormat="1" applyFill="1" applyBorder="1" applyAlignment="1" applyProtection="1">
      <x:protection locked="1" hidden="0"/>
    </x:xf>
    <x:xf numFmtId="0" fontId="0" fillId="0" borderId="26" applyNumberFormat="1" applyFill="1" applyBorder="1" applyAlignment="1" applyProtection="1">
      <x:protection locked="1" hidden="0"/>
    </x:xf>
    <x:xf numFmtId="0" fontId="16" fillId="0" borderId="26"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9" applyNumberFormat="1" applyFill="1" applyBorder="1" applyAlignment="1" applyProtection="1">
      <x:protection locked="1" hidden="0"/>
    </x:xf>
    <x:xf numFmtId="0" fontId="0" fillId="0" borderId="10" applyNumberFormat="1" applyFill="1" applyBorder="1" applyAlignment="1" applyProtection="1">
      <x:protection locked="1" hidden="0"/>
    </x:xf>
    <x:xf numFmtId="0" fontId="0" fillId="0" borderId="38" applyNumberFormat="1" applyFill="1" applyBorder="1" applyAlignment="1" applyProtection="1">
      <x:protection locked="1" hidden="0"/>
    </x:xf>
    <x:xf numFmtId="0" fontId="0" fillId="0" borderId="39" applyNumberFormat="1" applyFill="1" applyBorder="1" applyAlignment="1" applyProtection="1">
      <x:protection locked="1" hidden="0"/>
    </x:xf>
    <x:xf numFmtId="0" fontId="16" fillId="0" borderId="39" applyNumberFormat="1" applyFill="1" applyBorder="1" applyAlignment="1" applyProtection="1">
      <x:protection locked="1" hidden="0"/>
    </x:xf>
    <x:xf numFmtId="0" fontId="0" fillId="0" borderId="40" applyNumberFormat="1" applyFill="1" applyBorder="1" applyAlignment="1" applyProtection="1">
      <x:protection locked="1" hidden="0"/>
    </x:xf>
    <x:xf numFmtId="0" fontId="15" fillId="0" borderId="0" applyNumberFormat="1" applyFill="1" applyBorder="0" applyAlignment="1" applyProtection="1">
      <x:protection locked="1" hidden="0"/>
    </x:xf>
    <x:xf numFmtId="0" fontId="8"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0" fontId="10" fillId="0" borderId="0" applyNumberFormat="1" applyFill="1" applyBorder="0" applyAlignment="1" applyProtection="1">
      <x:protection locked="1" hidden="0"/>
    </x:xf>
    <x:xf numFmtId="0" fontId="0" fillId="6" borderId="1" applyNumberFormat="1" applyFill="0" applyBorder="1" applyAlignment="1" applyProtection="1">
      <x:protection locked="1" hidden="0"/>
    </x:xf>
    <x:xf numFmtId="0" fontId="3" fillId="0" borderId="2" applyNumberFormat="1" applyFill="1" applyBorder="1" applyAlignment="1" applyProtection="1">
      <x:protection locked="1" hidden="0"/>
    </x:xf>
    <x:xf numFmtId="0" fontId="3"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3" applyNumberFormat="1" applyFill="1" applyBorder="1" applyAlignment="1" applyProtection="1">
      <x:protection locked="1" hidden="0"/>
    </x:xf>
    <x:xf numFmtId="0" fontId="0" fillId="6" borderId="3" applyNumberFormat="1" applyFill="0" applyBorder="1" applyAlignment="1" applyProtection="1">
      <x:protection locked="1" hidden="0"/>
    </x:xf>
    <x:xf numFmtId="0" fontId="0" fillId="6" borderId="4" applyNumberFormat="1" applyFill="0" applyBorder="1" applyAlignment="1" applyProtection="1">
      <x:protection locked="1" hidden="0"/>
    </x:xf>
    <x:xf numFmtId="0" fontId="0" fillId="2" borderId="5" applyNumberFormat="1" applyFill="0" applyBorder="1" applyAlignment="1" applyProtection="1">
      <x:protection locked="1" hidden="0"/>
    </x:xf>
    <x:xf numFmtId="0" fontId="0" fillId="0" borderId="6" applyNumberFormat="1" applyFill="1" applyBorder="1" applyAlignment="1" applyProtection="1">
      <x:protection locked="1" hidden="0"/>
    </x:xf>
    <x:xf numFmtId="0" fontId="11"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3" fillId="0" borderId="25" applyNumberFormat="1" applyFill="1" applyBorder="1" applyAlignment="1" applyProtection="1">
      <x:protection locked="1" hidden="0"/>
    </x:xf>
    <x:xf numFmtId="0" fontId="11" fillId="0" borderId="0" applyNumberFormat="1" applyFill="1" applyBorder="0" applyAlignment="1" applyProtection="1">
      <x:protection locked="1" hidden="0"/>
    </x:xf>
    <x:xf numFmtId="0" fontId="11" fillId="0" borderId="9" applyNumberFormat="1" applyFill="1" applyBorder="1" applyAlignment="1" applyProtection="1">
      <x:protection locked="1" hidden="0"/>
    </x:xf>
    <x:xf numFmtId="0" fontId="3" fillId="2" borderId="10" applyNumberFormat="1" applyFill="0" applyBorder="1" applyAlignment="1" applyProtection="1">
      <x:protection locked="1" hidden="0"/>
    </x:xf>
    <x:xf numFmtId="0" fontId="0" fillId="0" borderId="11"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0" fontId="0" fillId="0" borderId="24" applyNumberFormat="1" applyFill="1" applyBorder="1" applyAlignment="1" applyProtection="1">
      <x:protection locked="1" hidden="0"/>
    </x:xf>
    <x:xf numFmtId="0" fontId="3" fillId="0" borderId="12" applyNumberFormat="1" applyFill="1" applyBorder="1" applyAlignment="1" applyProtection="1">
      <x:protection locked="1" hidden="0"/>
    </x:xf>
    <x:xf numFmtId="0" fontId="3" fillId="2" borderId="15" applyNumberFormat="1" applyFill="0" applyBorder="1" applyAlignment="1" applyProtection="1">
      <x:protection locked="1" hidden="0"/>
    </x:xf>
    <x:xf numFmtId="0" fontId="0" fillId="0" borderId="16" applyNumberFormat="1" applyFill="1" applyBorder="1" applyAlignment="1" applyProtection="1">
      <x:protection locked="1" hidden="0"/>
    </x:xf>
    <x:xf numFmtId="165" fontId="0" fillId="0" borderId="8" applyNumberFormat="1" applyFill="1" applyBorder="1" applyAlignment="1" applyProtection="1">
      <x:protection locked="1" hidden="0"/>
    </x:xf>
    <x:xf numFmtId="165" fontId="0" fillId="0" borderId="0" applyNumberFormat="1" applyFill="1" applyBorder="0" applyAlignment="1" applyProtection="1">
      <x:protection locked="1" hidden="0"/>
    </x:xf>
    <x:xf numFmtId="165" fontId="0" fillId="0" borderId="9" applyNumberFormat="1" applyFill="1" applyBorder="1" applyAlignment="1" applyProtection="1">
      <x:protection locked="1" hidden="0"/>
    </x:xf>
    <x:xf numFmtId="1" fontId="0" fillId="0" borderId="8"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18" applyNumberFormat="1" applyFill="1" applyBorder="1" applyAlignment="1" applyProtection="1">
      <x:protection locked="1" hidden="0"/>
    </x:xf>
    <x:xf numFmtId="166" fontId="0" fillId="0" borderId="19" applyNumberFormat="1" applyFill="1" applyBorder="1" applyAlignment="1" applyProtection="1">
      <x:protection locked="1" hidden="0"/>
    </x:xf>
    <x:xf numFmtId="0" fontId="0" fillId="2" borderId="9" applyNumberFormat="1" applyFill="0" applyBorder="1" applyAlignment="1" applyProtection="1">
      <x:protection locked="1" hidden="0"/>
    </x:xf>
    <x:xf numFmtId="166" fontId="0" fillId="0" borderId="8" applyNumberFormat="1" applyFill="1" applyBorder="1" applyAlignment="1" applyProtection="1">
      <x:protection locked="1" hidden="0"/>
    </x:xf>
    <x:xf numFmtId="166" fontId="0" fillId="0" borderId="0" applyNumberFormat="1" applyFill="1" applyBorder="0" applyAlignment="1" applyProtection="1">
      <x:protection locked="1" hidden="0"/>
    </x:xf>
    <x:xf numFmtId="166" fontId="0" fillId="0" borderId="9" applyNumberFormat="1" applyFill="1" applyBorder="1" applyAlignment="1" applyProtection="1">
      <x:protection locked="1" hidden="0"/>
    </x:xf>
    <x:xf numFmtId="168" fontId="0" fillId="2" borderId="9" applyNumberFormat="1" applyFill="0" applyBorder="1" applyAlignment="1" applyProtection="1">
      <x:protection locked="1" hidden="0"/>
    </x:xf>
    <x:xf numFmtId="166" fontId="0" fillId="0" borderId="0" applyNumberFormat="1" applyFill="1" applyBorder="0" applyAlignment="1" applyProtection="1">
      <x:protection locked="0" hidden="0"/>
    </x:xf>
    <x:xf numFmtId="166" fontId="0" fillId="0" borderId="9" applyNumberFormat="1" applyFill="1" applyBorder="1" applyAlignment="1" applyProtection="1">
      <x:protection locked="0" hidden="0"/>
    </x:xf>
    <x:xf numFmtId="0" fontId="0" fillId="0" borderId="12" applyNumberFormat="1" applyFill="1" applyBorder="1" applyAlignment="1" applyProtection="1">
      <x:protection locked="1" hidden="0"/>
    </x:xf>
    <x:xf numFmtId="165" fontId="0" fillId="0" borderId="13" applyNumberFormat="1" applyFill="1" applyBorder="1" applyAlignment="1" applyProtection="1">
      <x:protection locked="1" hidden="0"/>
    </x:xf>
    <x:xf numFmtId="165" fontId="0" fillId="0" borderId="14" applyNumberFormat="1" applyFill="1" applyBorder="1" applyAlignment="1" applyProtection="1">
      <x:protection locked="1" hidden="0"/>
    </x:xf>
    <x:xf numFmtId="165" fontId="0" fillId="0" borderId="15" applyNumberFormat="1" applyFill="1" applyBorder="1" applyAlignment="1" applyProtection="1">
      <x:protection locked="1" hidden="0"/>
    </x:xf>
    <x:xf numFmtId="1" fontId="0" fillId="0" borderId="13" applyNumberFormat="1" applyFill="1" applyBorder="1" applyAlignment="1" applyProtection="1">
      <x:protection locked="1" hidden="0"/>
    </x:xf>
    <x:xf numFmtId="166" fontId="0" fillId="0" borderId="13" applyNumberFormat="1" applyFill="1" applyBorder="1" applyAlignment="1" applyProtection="1">
      <x:protection locked="1" hidden="0"/>
    </x:xf>
    <x:xf numFmtId="166" fontId="0" fillId="0" borderId="14" applyNumberFormat="1" applyFill="1" applyBorder="1" applyAlignment="1" applyProtection="1">
      <x:protection locked="1" hidden="0"/>
    </x:xf>
    <x:xf numFmtId="166" fontId="0" fillId="0" borderId="15" applyNumberFormat="1" applyFill="1" applyBorder="1" applyAlignment="1" applyProtection="1">
      <x:protection locked="1" hidden="0"/>
    </x:xf>
    <x:xf numFmtId="0" fontId="0" fillId="0" borderId="17" applyNumberFormat="1" applyFill="1" applyBorder="1" applyAlignment="1" applyProtection="1">
      <x:protection locked="1" hidden="0"/>
    </x:xf>
    <x:xf numFmtId="0" fontId="0" fillId="7" borderId="17" applyNumberFormat="1" applyFill="0" applyBorder="1" applyAlignment="1" applyProtection="1">
      <x:protection locked="1" hidden="0"/>
    </x:xf>
    <x:xf numFmtId="0" fontId="0" fillId="7" borderId="0" applyNumberFormat="1" applyFill="0" applyBorder="0" applyAlignment="1" applyProtection="1">
      <x:protection locked="1" hidden="0"/>
    </x:xf>
    <x:xf numFmtId="165" fontId="0" fillId="7" borderId="0" applyNumberFormat="1" applyFill="0" applyBorder="0" applyAlignment="1" applyProtection="1">
      <x:protection locked="1" hidden="0"/>
    </x:xf>
    <x:xf numFmtId="0" fontId="0" fillId="7" borderId="11" applyNumberFormat="1" applyFill="0" applyBorder="1" applyAlignment="1" applyProtection="1">
      <x:protection locked="1" hidden="0"/>
    </x:xf>
    <x:xf numFmtId="167" fontId="0" fillId="0" borderId="0" applyNumberFormat="1" applyFill="1" applyBorder="0" applyAlignment="1" applyProtection="1">
      <x:protection locked="1" hidden="0"/>
    </x:xf>
    <x:xf numFmtId="0" fontId="0" fillId="6" borderId="0" applyNumberFormat="1" applyFill="0" applyBorder="0" applyAlignment="1" applyProtection="1">
      <x:protection locked="1" hidden="0"/>
    </x:xf>
    <x:xf numFmtId="0" fontId="0" fillId="6" borderId="11" applyNumberFormat="1" applyFill="0" applyBorder="1" applyAlignment="1" applyProtection="1">
      <x:protection locked="1" hidden="0"/>
    </x:xf>
    <x:xf numFmtId="0" fontId="5" fillId="8" borderId="0" applyNumberFormat="1" applyFill="0" applyBorder="0" applyAlignment="1" applyProtection="1">
      <x:protection locked="1" hidden="0"/>
    </x:xf>
    <x:xf numFmtId="0" fontId="0" fillId="8" borderId="11" applyNumberFormat="1" applyFill="0" applyBorder="1" applyAlignment="1" applyProtection="1">
      <x:protection locked="1" hidden="0"/>
    </x:xf>
    <x:xf numFmtId="0" fontId="0" fillId="0" borderId="20"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0" borderId="22" applyNumberFormat="1" applyFill="1" applyBorder="1" applyAlignment="1" applyProtection="1">
      <x:protection locked="1" hidden="0"/>
    </x:xf>
    <x:xf numFmtId="0" fontId="3" fillId="0" borderId="21" applyNumberFormat="1" applyFill="1" applyBorder="1" applyAlignment="1" applyProtection="1">
      <x:protection locked="1" hidden="0"/>
    </x:xf>
    <x:xf numFmtId="0" fontId="5" fillId="8" borderId="21" applyNumberFormat="1" applyFill="0" applyBorder="1" applyAlignment="1" applyProtection="1">
      <x:protection locked="1" hidden="0"/>
    </x:xf>
    <x:xf numFmtId="0" fontId="3" fillId="8" borderId="22" applyNumberFormat="1" applyFill="0" applyBorder="1" applyAlignment="1" applyProtection="1">
      <x:protection locked="1" hidden="0"/>
    </x:xf>
    <x:xf numFmtId="0" fontId="0" fillId="9" borderId="0" applyNumberFormat="1" applyFill="0" applyBorder="0" applyAlignment="1" applyProtection="1">
      <x:protection locked="1" hidden="0"/>
    </x:xf>
  </x:cellStyleXfs>
  <x:cellXfs count="172">
    <x:xf numFmtId="0" fontId="0" fillId="0" borderId="0" xfId="0"/>
    <x:xf numFmtId="0" fontId="1" fillId="0" borderId="0" xfId="0" applyFont="1"/>
    <x:xf numFmtId="0" fontId="2" fillId="0" borderId="0" xfId="0" applyFont="1"/>
    <x:xf numFmtId="0" fontId="0" fillId="0" borderId="0" xfId="0" applyAlignment="1">
      <x:alignment horizontal="center" vertical="center"/>
    </x:xf>
    <x:xf numFmtId="164" fontId="0" fillId="0" borderId="0" xfId="0" applyNumberFormat="1" applyAlignment="1">
      <x:alignment horizontal="center" vertical="center"/>
    </x:xf>
    <x:xf numFmtId="0" fontId="3" fillId="0" borderId="0" xfId="0" applyFont="1" applyAlignment="1">
      <x:alignment horizontal="center" vertical="center" wrapText="1"/>
    </x:xf>
    <x:xf numFmtId="0" fontId="3" fillId="0" borderId="0" xfId="0" applyFont="1" applyAlignment="1">
      <x:alignment wrapText="1"/>
    </x:xf>
    <x:xf numFmtId="0" fontId="4" fillId="0" borderId="0" xfId="0" applyFont="1" applyAlignment="1">
      <x:alignment horizontal="right"/>
    </x:xf>
    <x:xf numFmtId="1" fontId="3" fillId="0" borderId="0" xfId="0" applyNumberFormat="1" applyFont="1" applyAlignment="1">
      <x:alignment horizontal="center" vertical="center" wrapText="1"/>
    </x:xf>
    <x:xf numFmtId="1" fontId="0" fillId="0" borderId="0" xfId="0" applyNumberFormat="1" applyAlignment="1">
      <x:alignment horizontal="center" vertical="center"/>
    </x:xf>
    <x:xf numFmtId="0" fontId="3" fillId="0" borderId="0" xfId="0" applyFont="1" applyAlignment="1">
      <x:alignment horizontal="center" vertical="center"/>
    </x:xf>
    <x:xf numFmtId="164" fontId="0" fillId="3" borderId="0" xfId="0" applyNumberFormat="1" applyFill="1" applyAlignment="1">
      <x:alignment horizontal="center" vertical="center"/>
    </x:xf>
    <x:xf numFmtId="0" fontId="3" fillId="0" borderId="0" xfId="0" applyFont="1"/>
    <x:xf numFmtId="0" fontId="0" fillId="4" borderId="0" xfId="0" applyFill="1" applyAlignment="1">
      <x:alignment horizontal="center" vertical="center"/>
    </x:xf>
    <x:xf numFmtId="164" fontId="0" fillId="5" borderId="0" xfId="0" applyNumberFormat="1" applyFill="1" applyAlignment="1">
      <x:alignment horizontal="center" vertical="center"/>
    </x:xf>
    <x:xf numFmtId="1" fontId="3" fillId="2" borderId="0" xfId="0" applyNumberFormat="1" applyFont="1" applyFill="1" applyAlignment="1">
      <x:alignment horizontal="center" vertical="center"/>
    </x:xf>
    <x:xf numFmtId="0" fontId="3" fillId="3" borderId="0" xfId="0" applyFont="1" applyFill="1"/>
    <x:xf numFmtId="1" fontId="0" fillId="4" borderId="0" xfId="0" applyNumberFormat="1" applyFill="1" applyAlignment="1">
      <x:alignment horizontal="center" vertical="center"/>
    </x:xf>
    <x:xf numFmtId="1" fontId="0" fillId="3" borderId="0" xfId="0" applyNumberFormat="1" applyFill="1" applyAlignment="1">
      <x:alignment horizontal="center" vertical="center"/>
    </x:xf>
    <x:xf numFmtId="0" fontId="6" fillId="0" borderId="0" xfId="0" applyFont="1" applyAlignment="1">
      <x:alignment vertical="center" wrapText="1"/>
    </x:xf>
    <x:xf numFmtId="0" fontId="6" fillId="0" borderId="0" xfId="0" applyFont="1" applyAlignment="1">
      <x:alignment wrapText="1"/>
    </x:xf>
    <x:xf numFmtId="0" fontId="8" fillId="2" borderId="0" xfId="0" applyFont="1" applyFill="1"/>
    <x:xf numFmtId="0" fontId="0" fillId="2" borderId="0" xfId="0" applyFill="1" applyAlignment="1">
      <x:alignment horizontal="center"/>
    </x:xf>
    <x:xf numFmtId="0" fontId="0" fillId="2" borderId="0" xfId="0" applyFill="1" applyAlignment="1">
      <x:alignment horizontal="right"/>
    </x:xf>
    <x:xf numFmtId="0" fontId="0" fillId="0" borderId="0" xfId="0" applyAlignment="1">
      <x:alignment horizontal="right"/>
    </x:xf>
    <x:xf numFmtId="0" fontId="9" fillId="2" borderId="0" xfId="0" applyFont="1" applyFill="1" applyAlignment="1">
      <x:alignment horizontal="center"/>
    </x:xf>
    <x:xf numFmtId="0" fontId="10" fillId="0" borderId="0" xfId="0" applyFont="1"/>
    <x:xf numFmtId="0" fontId="0" fillId="0" borderId="0" xfId="0" applyAlignment="1">
      <x:alignment horizontal="center"/>
    </x:xf>
    <x:xf numFmtId="0" fontId="0" fillId="6" borderId="1" xfId="0" applyFill="1" applyBorder="1"/>
    <x:xf numFmtId="0" fontId="3" fillId="0" borderId="2" xfId="0" applyFont="1" applyBorder="1" applyAlignment="1">
      <x:alignment horizontal="center"/>
    </x:xf>
    <x:xf numFmtId="0" fontId="3" fillId="0" borderId="3" xfId="0" applyFont="1" applyBorder="1" applyAlignment="1">
      <x:alignment horizontal="center"/>
    </x:xf>
    <x:xf numFmtId="0" fontId="3" fillId="0" borderId="4" xfId="0" applyFont="1" applyBorder="1" applyAlignment="1">
      <x:alignment horizontal="center"/>
    </x:xf>
    <x:xf numFmtId="0" fontId="0" fillId="2" borderId="5" xfId="0" applyFill="1" applyBorder="1" applyAlignment="1">
      <x:alignment horizontal="center"/>
    </x:xf>
    <x:xf numFmtId="0" fontId="0" fillId="0" borderId="6" xfId="0" applyBorder="1" applyAlignment="1">
      <x:alignment horizontal="right"/>
    </x:xf>
    <x:xf numFmtId="0" fontId="3" fillId="2" borderId="10" xfId="0" applyFont="1" applyFill="1" applyBorder="1" applyAlignment="1">
      <x:alignment horizontal="center"/>
    </x:xf>
    <x:xf numFmtId="0" fontId="0" fillId="0" borderId="11" xfId="0" applyBorder="1" applyAlignment="1">
      <x:alignment horizontal="right"/>
    </x:xf>
    <x:xf numFmtId="0" fontId="0" fillId="0" borderId="7" xfId="0" applyBorder="1"/>
    <x:xf numFmtId="0" fontId="3" fillId="0" borderId="12" xfId="0" applyFont="1" applyBorder="1"/>
    <x:xf numFmtId="0" fontId="3" fillId="0" borderId="13" xfId="0" applyFont="1" applyBorder="1" applyAlignment="1">
      <x:alignment horizontal="center"/>
    </x:xf>
    <x:xf numFmtId="0" fontId="3" fillId="0" borderId="14" xfId="0" applyFont="1" applyBorder="1" applyAlignment="1">
      <x:alignment horizontal="center"/>
    </x:xf>
    <x:xf numFmtId="0" fontId="3" fillId="0" borderId="15" xfId="0" applyFont="1" applyBorder="1" applyAlignment="1">
      <x:alignment horizontal="center"/>
    </x:xf>
    <x:xf numFmtId="0" fontId="0" fillId="0" borderId="16" xfId="0" applyBorder="1" applyAlignment="1">
      <x:alignment horizontal="right"/>
    </x:xf>
    <x:xf numFmtId="165" fontId="0" fillId="0" borderId="8" xfId="0" applyNumberFormat="1" applyBorder="1" applyAlignment="1">
      <x:alignment horizontal="center"/>
    </x:xf>
    <x:xf numFmtId="165" fontId="0" fillId="0" borderId="9" xfId="0" applyNumberFormat="1" applyBorder="1" applyAlignment="1">
      <x:alignment horizontal="center"/>
    </x:xf>
    <x:xf numFmtId="0" fontId="0" fillId="0" borderId="11" xfId="0" applyBorder="1"/>
    <x:xf numFmtId="0" fontId="0" fillId="0" borderId="12" xfId="0" applyBorder="1"/>
    <x:xf numFmtId="165" fontId="0" fillId="0" borderId="13" xfId="0" applyNumberFormat="1" applyBorder="1" applyAlignment="1">
      <x:alignment horizontal="center"/>
    </x:xf>
    <x:xf numFmtId="165" fontId="0" fillId="0" borderId="14" xfId="0" applyNumberFormat="1" applyBorder="1" applyAlignment="1">
      <x:alignment horizontal="center"/>
    </x:xf>
    <x:xf numFmtId="165" fontId="0" fillId="0" borderId="15" xfId="0" applyNumberFormat="1" applyBorder="1" applyAlignment="1">
      <x:alignment horizontal="center"/>
    </x:xf>
    <x:xf numFmtId="0" fontId="0" fillId="0" borderId="16" xfId="0" applyBorder="1"/>
    <x:xf numFmtId="0" fontId="0" fillId="0" borderId="17" xfId="0" applyBorder="1"/>
    <x:xf numFmtId="0" fontId="0" fillId="7" borderId="17" xfId="0" applyFill="1" applyBorder="1"/>
    <x:xf numFmtId="0" fontId="0" fillId="7" borderId="11" xfId="0" applyFill="1" applyBorder="1"/>
    <x:xf numFmtId="0" fontId="0" fillId="6" borderId="11" xfId="0" applyFill="1" applyBorder="1"/>
    <x:xf numFmtId="0" fontId="0" fillId="0" borderId="20" xfId="0" applyBorder="1"/>
    <x:xf numFmtId="0" fontId="0" fillId="0" borderId="21" xfId="0" applyBorder="1" applyAlignment="1">
      <x:alignment horizontal="center"/>
    </x:xf>
    <x:xf numFmtId="0" fontId="3" fillId="8" borderId="22" xfId="0" applyFont="1" applyFill="1" applyBorder="1"/>
    <x:xf numFmtId="0" fontId="3" fillId="0" borderId="0" xfId="0" applyFont="1" applyAlignment="1">
      <x:alignment horizontal="right"/>
    </x:xf>
    <x:xf numFmtId="0" fontId="0" fillId="9" borderId="0" xfId="0" applyFill="1" applyAlignment="1">
      <x:alignment horizontal="center"/>
    </x:xf>
    <x:xf numFmtId="0" fontId="0" fillId="9" borderId="0" xfId="0" applyFill="1" applyAlignment="1">
      <x:alignment horizontal="right"/>
    </x:xf>
    <x:xf numFmtId="0" fontId="5" fillId="0" borderId="0" xfId="0" applyFont="1" applyAlignment="1">
      <x:alignment horizontal="center"/>
    </x:xf>
    <x:xf numFmtId="164" fontId="3" fillId="0" borderId="0" xfId="0" applyNumberFormat="1" applyFont="1" applyAlignment="1">
      <x:alignment horizontal="center"/>
    </x:xf>
    <x:xf numFmtId="164" fontId="3" fillId="2" borderId="0" xfId="0" applyNumberFormat="1" applyFont="1" applyFill="1" applyAlignment="1">
      <x:alignment horizontal="center" vertical="center"/>
    </x:xf>
    <x:xf numFmtId="2" fontId="3" fillId="0" borderId="0" xfId="0" applyNumberFormat="1" applyFont="1" applyAlignment="1">
      <x:alignment horizontal="center" vertical="center"/>
    </x:xf>
    <x:xf numFmtId="164" fontId="3" fillId="0" borderId="0" xfId="0" applyNumberFormat="1" applyFont="1" applyAlignment="1">
      <x:alignment horizontal="center" vertical="center"/>
    </x:xf>
    <x:xf numFmtId="0" fontId="0" fillId="0" borderId="8" xfId="0" applyBorder="1" applyAlignment="1">
      <x:alignment horizontal="center"/>
    </x:xf>
    <x:xf numFmtId="0" fontId="0" fillId="0" borderId="9" xfId="0" applyBorder="1" applyAlignment="1">
      <x:alignment horizontal="center"/>
    </x:xf>
    <x:xf numFmtId="0" fontId="3" fillId="2" borderId="15" xfId="0" applyFont="1" applyFill="1" applyBorder="1" applyAlignment="1">
      <x:alignment horizontal="center"/>
    </x:xf>
    <x:xf numFmtId="0" fontId="0" fillId="7" borderId="0" xfId="0" applyFill="1" applyAlignment="1">
      <x:alignment horizontal="left"/>
    </x:xf>
    <x:xf numFmtId="0" fontId="0" fillId="6" borderId="0" xfId="0" applyFill="1" applyAlignment="1">
      <x:alignment horizontal="left"/>
    </x:xf>
    <x:xf numFmtId="0" fontId="0" fillId="8" borderId="11" xfId="0" applyFill="1" applyBorder="1"/>
    <x:xf numFmtId="0" fontId="5" fillId="8" borderId="0" xfId="0" applyFont="1" applyFill="1" applyAlignment="1">
      <x:alignment horizontal="left"/>
    </x:xf>
    <x:xf numFmtId="0" fontId="5" fillId="8" borderId="21" xfId="0" applyFont="1" applyFill="1" applyBorder="1" applyAlignment="1">
      <x:alignment horizontal="left"/>
    </x:xf>
    <x:xf numFmtId="0" fontId="0" fillId="2" borderId="9" xfId="0" applyFill="1" applyBorder="1" applyAlignment="1">
      <x:alignment horizontal="center"/>
    </x:xf>
    <x:xf numFmtId="0" fontId="0" fillId="2" borderId="15" xfId="0" applyFill="1" applyBorder="1" applyAlignment="1">
      <x:alignment horizontal="center"/>
    </x:xf>
    <x:xf numFmtId="0" fontId="3" fillId="0" borderId="23" xfId="0" applyFont="1" applyBorder="1" applyAlignment="1">
      <x:alignment horizontal="center"/>
    </x:xf>
    <x:xf numFmtId="0" fontId="0" fillId="0" borderId="24" xfId="0" applyBorder="1" applyAlignment="1">
      <x:alignment horizontal="center"/>
    </x:xf>
    <x:xf numFmtId="0" fontId="3" fillId="0" borderId="25" xfId="0" applyFont="1" applyBorder="1" applyAlignment="1">
      <x:alignment horizontal="center"/>
    </x:xf>
    <x:xf numFmtId="165" fontId="0" fillId="0" borderId="0" xfId="0" applyNumberFormat="1" applyAlignment="1">
      <x:alignment horizontal="center"/>
    </x:xf>
    <x:xf numFmtId="0" fontId="0" fillId="0" borderId="11" xfId="0" applyBorder="1" applyAlignment="1">
      <x:alignment horizontal="center"/>
    </x:xf>
    <x:xf numFmtId="0" fontId="0" fillId="7" borderId="0" xfId="0" applyFill="1"/>
    <x:xf numFmtId="165" fontId="0" fillId="7" borderId="0" xfId="0" applyNumberFormat="1" applyFill="1" applyAlignment="1">
      <x:alignment horizontal="center"/>
    </x:xf>
    <x:xf numFmtId="167" fontId="0" fillId="0" borderId="0" xfId="0" applyNumberFormat="1" applyAlignment="1">
      <x:alignment horizontal="center"/>
    </x:xf>
    <x:xf numFmtId="0" fontId="0" fillId="0" borderId="22" xfId="0" applyBorder="1" applyAlignment="1">
      <x:alignment horizontal="center"/>
    </x:xf>
    <x:xf numFmtId="0" fontId="11" fillId="0" borderId="12" xfId="0" applyFont="1" applyBorder="1"/>
    <x:xf numFmtId="0" fontId="0" fillId="0" borderId="26" xfId="0" applyBorder="1" applyAlignment="1">
      <x:alignment horizontal="center"/>
    </x:xf>
    <x:xf numFmtId="0" fontId="16" fillId="0" borderId="26" xfId="0" applyFont="1" applyBorder="1" applyAlignment="1">
      <x:alignment horizontal="center"/>
    </x:xf>
    <x:xf numFmtId="0" fontId="0" fillId="0" borderId="10" xfId="0" applyBorder="1" applyAlignment="1">
      <x:alignment horizontal="center"/>
    </x:xf>
    <x:xf numFmtId="0" fontId="15" fillId="0" borderId="0" xfId="0" applyFont="1" applyAlignment="1">
      <x:alignment horizontal="center"/>
    </x:xf>
    <x:xf numFmtId="0" fontId="3" fillId="0" borderId="30" xfId="0" applyFont="1" applyBorder="1" applyAlignment="1">
      <x:alignment horizontal="center"/>
    </x:xf>
    <x:xf numFmtId="0" fontId="3" fillId="0" borderId="31" xfId="0" applyFont="1" applyBorder="1" applyAlignment="1">
      <x:alignment horizontal="center"/>
    </x:xf>
    <x:xf numFmtId="0" fontId="3" fillId="0" borderId="32" xfId="0" applyFont="1" applyBorder="1" applyAlignment="1">
      <x:alignment horizontal="center"/>
    </x:xf>
    <x:xf numFmtId="0" fontId="0" fillId="0" borderId="9" xfId="0" applyBorder="1"/>
    <x:xf numFmtId="0" fontId="0" fillId="0" borderId="33" xfId="0" applyBorder="1" applyAlignment="1">
      <x:alignment horizontal="center"/>
    </x:xf>
    <x:xf numFmtId="0" fontId="0" fillId="0" borderId="34" xfId="0" applyBorder="1" applyAlignment="1">
      <x:alignment horizontal="center"/>
    </x:xf>
    <x:xf numFmtId="0" fontId="16" fillId="0" borderId="34" xfId="0" applyFont="1" applyBorder="1" applyAlignment="1">
      <x:alignment horizontal="center"/>
    </x:xf>
    <x:xf numFmtId="0" fontId="0" fillId="0" borderId="35" xfId="0" applyBorder="1" applyAlignment="1">
      <x:alignment horizontal="center"/>
    </x:xf>
    <x:xf numFmtId="0" fontId="0" fillId="0" borderId="36" xfId="0" applyBorder="1" applyAlignment="1">
      <x:alignment horizontal="center"/>
    </x:xf>
    <x:xf numFmtId="0" fontId="0" fillId="0" borderId="37" xfId="0" applyBorder="1" applyAlignment="1">
      <x:alignment horizontal="center"/>
    </x:xf>
    <x:xf numFmtId="0" fontId="0" fillId="0" borderId="38" xfId="0" applyBorder="1" applyAlignment="1">
      <x:alignment horizontal="center"/>
    </x:xf>
    <x:xf numFmtId="0" fontId="0" fillId="0" borderId="39" xfId="0" applyBorder="1" applyAlignment="1">
      <x:alignment horizontal="center"/>
    </x:xf>
    <x:xf numFmtId="0" fontId="16" fillId="0" borderId="39" xfId="0" applyFont="1" applyBorder="1" applyAlignment="1">
      <x:alignment horizontal="center"/>
    </x:xf>
    <x:xf numFmtId="0" fontId="0" fillId="0" borderId="40" xfId="0" applyBorder="1" applyAlignment="1">
      <x:alignment horizontal="center"/>
    </x:xf>
    <x:xf numFmtId="1" fontId="0" fillId="0" borderId="8" xfId="0" applyNumberFormat="1" applyBorder="1" applyAlignment="1">
      <x:alignment horizontal="center"/>
    </x:xf>
    <x:xf numFmtId="1" fontId="0" fillId="0" borderId="13" xfId="0" applyNumberFormat="1" applyBorder="1" applyAlignment="1">
      <x:alignment horizontal="center"/>
    </x:xf>
    <x:xf numFmtId="0" fontId="0" fillId="6" borderId="3" xfId="0" applyFill="1" applyBorder="1" applyAlignment="1">
      <x:alignment horizontal="center" vertical="center"/>
    </x:xf>
    <x:xf numFmtId="0" fontId="0" fillId="6" borderId="4" xfId="0" applyFill="1" applyBorder="1" applyAlignment="1">
      <x:alignment horizontal="center" vertical="center"/>
    </x:xf>
    <x:xf numFmtId="0" fontId="11" fillId="0" borderId="0" xfId="0" applyFont="1" applyAlignment="1">
      <x:alignment horizontal="center" vertical="center"/>
    </x:xf>
    <x:xf numFmtId="0" fontId="11" fillId="0" borderId="9" xfId="0" applyFont="1" applyBorder="1" applyAlignment="1">
      <x:alignment horizontal="center" vertical="center"/>
    </x:xf>
    <x:xf numFmtId="0" fontId="0" fillId="0" borderId="9" xfId="0" applyBorder="1" applyAlignment="1">
      <x:alignment horizontal="center" vertical="center"/>
    </x:xf>
    <x:xf numFmtId="166" fontId="0" fillId="0" borderId="41" xfId="1" applyNumberFormat="1" applyFont="1" applyBorder="1" applyAlignment="1">
      <x:alignment horizontal="center" vertical="center"/>
    </x:xf>
    <x:xf numFmtId="166" fontId="0" fillId="0" borderId="18" xfId="1" applyNumberFormat="1" applyFont="1" applyBorder="1" applyAlignment="1">
      <x:alignment horizontal="center" vertical="center"/>
    </x:xf>
    <x:xf numFmtId="166" fontId="0" fillId="0" borderId="19" xfId="1" applyNumberFormat="1" applyFont="1" applyBorder="1" applyAlignment="1">
      <x:alignment horizontal="center" vertical="center"/>
    </x:xf>
    <x:xf numFmtId="166" fontId="0" fillId="0" borderId="8" xfId="1" applyNumberFormat="1" applyFont="1" applyBorder="1" applyAlignment="1">
      <x:alignment horizontal="center" vertical="center"/>
    </x:xf>
    <x:xf numFmtId="166" fontId="0" fillId="0" borderId="0" xfId="1" applyNumberFormat="1" applyFont="1" applyBorder="1" applyAlignment="1">
      <x:alignment horizontal="center" vertical="center"/>
    </x:xf>
    <x:xf numFmtId="166" fontId="0" fillId="0" borderId="9" xfId="1" applyNumberFormat="1" applyFont="1" applyBorder="1" applyAlignment="1">
      <x:alignment horizontal="center" vertical="center"/>
    </x:xf>
    <x:xf numFmtId="166" fontId="0" fillId="0" borderId="0" xfId="1" applyNumberFormat="1" applyFont="1" applyBorder="1" applyAlignment="1" applyProtection="1">
      <x:alignment horizontal="center" vertical="center"/>
      <x:protection locked="0"/>
    </x:xf>
    <x:xf numFmtId="166" fontId="0" fillId="0" borderId="9" xfId="1" applyNumberFormat="1" applyFont="1" applyBorder="1" applyAlignment="1" applyProtection="1">
      <x:alignment horizontal="center" vertical="center"/>
      <x:protection locked="0"/>
    </x:xf>
    <x:xf numFmtId="166" fontId="0" fillId="0" borderId="13" xfId="1" applyNumberFormat="1" applyFont="1" applyBorder="1" applyAlignment="1">
      <x:alignment horizontal="center" vertical="center"/>
    </x:xf>
    <x:xf numFmtId="166" fontId="0" fillId="0" borderId="14" xfId="1" applyNumberFormat="1" applyFont="1" applyBorder="1" applyAlignment="1">
      <x:alignment horizontal="center" vertical="center"/>
    </x:xf>
    <x:xf numFmtId="166" fontId="0" fillId="0" borderId="15" xfId="1" applyNumberFormat="1" applyFont="1" applyBorder="1" applyAlignment="1">
      <x:alignment horizontal="center" vertical="center"/>
    </x:xf>
    <x:xf numFmtId="0" fontId="3" fillId="0" borderId="21" xfId="0" applyFont="1" applyBorder="1" applyAlignment="1">
      <x:alignment horizontal="center" vertical="center"/>
    </x:xf>
    <x:xf numFmtId="0" fontId="17" fillId="0" borderId="0" xfId="0" applyFont="1" applyAlignment="1">
      <x:alignment wrapText="1"/>
    </x:xf>
    <x:xf numFmtId="0" fontId="3" fillId="0" borderId="0" xfId="0" applyFont="1" applyAlignment="1">
      <x:alignment horizontal="center"/>
    </x:xf>
    <x:xf numFmtId="14" fontId="0" fillId="0" borderId="0" xfId="0" applyNumberFormat="1" applyAlignment="1">
      <x:alignment horizontal="center"/>
    </x:xf>
    <x:xf numFmtId="0" fontId="18" fillId="0" borderId="0" xfId="0" applyFont="1" applyAlignment="1">
      <x:alignment horizontal="center"/>
    </x:xf>
    <x:xf numFmtId="0" fontId="5" fillId="0" borderId="0" xfId="0" applyFont="1" applyAlignment="1">
      <x:alignment horizontal="center"/>
    </x:xf>
    <x:xf numFmtId="0" fontId="6" fillId="0" borderId="0" xfId="0" applyFont="1" applyAlignment="1">
      <x:alignment vertical="center"/>
    </x:xf>
    <x:xf numFmtId="0" fontId="0" fillId="0" borderId="0" xfId="0"/>
    <x:xf numFmtId="0" fontId="0" fillId="0" borderId="8" xfId="0" applyBorder="1" applyAlignment="1">
      <x:alignment horizontal="center"/>
    </x:xf>
    <x:xf numFmtId="0" fontId="0" fillId="0" borderId="0" xfId="0" applyAlignment="1">
      <x:alignment horizontal="center"/>
    </x:xf>
    <x:xf numFmtId="0" fontId="0" fillId="0" borderId="9" xfId="0" applyBorder="1" applyAlignment="1">
      <x:alignment horizontal="center"/>
    </x:xf>
    <x:xf numFmtId="0" fontId="4" fillId="0" borderId="27" xfId="0" applyFont="1" applyBorder="1" applyAlignment="1">
      <x:alignment horizontal="center"/>
    </x:xf>
    <x:xf numFmtId="0" fontId="4" fillId="0" borderId="28" xfId="0" applyFont="1" applyBorder="1" applyAlignment="1">
      <x:alignment horizontal="center"/>
    </x:xf>
    <x:xf numFmtId="0" fontId="4" fillId="0" borderId="29" xfId="0" applyFont="1" applyBorder="1" applyAlignment="1">
      <x:alignment horizontal="center"/>
    </x:xf>
    <x:xf numFmtId="0" fontId="0" fillId="0" borderId="0" xfId="0" applyBorder="1" applyAlignment="1">
      <x:alignment horizontal="right"/>
    </x:xf>
    <x:xf numFmtId="0" fontId="0" fillId="0" borderId="0" xfId="0" applyBorder="1"/>
    <x:xf numFmtId="1"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3"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 fontId="3"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0" fillId="6"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0" fillId="2"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10"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15"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168" fontId="0" fillId="2" borderId="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center" textRotation="0" wrapText="0" indent="0" relativeIndent="0" justifyLastLine="0" shrinkToFit="0" readingOrder="0"/>
      <x:protection locked="0" hidden="0"/>
    </x:xf>
    <x:xf numFmtId="0" fontId="0" fillId="7"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7"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6"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8"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21" xfId="0" applyNumberFormat="1" applyFill="0" applyBorder="1" applyAlignment="1" applyProtection="1">
      <x:alignment horizontal="left" vertical="bottom" textRotation="0" wrapText="0" indent="0" relativeIndent="0" justifyLastLine="0" shrinkToFit="0" readingOrder="0"/>
      <x:protection locked="1" hidden="0"/>
    </x:xf>
    <x:xf numFmtId="0" fontId="3" fillId="8" borderId="2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right" vertical="bottom" textRotation="0" wrapText="0" indent="0" relativeIndent="0" justifyLastLine="0" shrinkToFit="0" readingOrder="0"/>
      <x:protection locked="1" hidden="0"/>
    </x:xf>
  </x:cellXfs>
  <x:cellStyles count="2">
    <x:cellStyle name="Comma" xfId="1" builtinId="3"/>
    <x:cellStyle name="Normal" xfId="0" builtinId="0"/>
  </x:cellStyles>
  <x:dxfs count="2">
    <x:dxf>
      <x:font>
        <x:color rgb="FF9C0006"/>
      </x:font>
      <x:fill>
        <x:patternFill patternType="solid">
          <x:fgColor auto="1"/>
          <x:bgColor rgb="FFFFC7CE"/>
        </x:patternFill>
      </x:fill>
    </x:dxf>
    <x:dxf>
      <x:font>
        <x:color rgb="FF006100"/>
      </x:font>
      <x:fill>
        <x:patternFill patternType="solid">
          <x:fgColor auto="1"/>
          <x:bgColor rgb="FFC6EFCE"/>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8" /><Relationship Type="http://schemas.openxmlformats.org/officeDocument/2006/relationships/customXml" Target="../customXml/item2.xml" Id="rId13" /><Relationship Type="http://schemas.openxmlformats.org/officeDocument/2006/relationships/worksheet" Target="worksheets/sheet7.xml" Id="rId7" /><Relationship Type="http://schemas.openxmlformats.org/officeDocument/2006/relationships/customXml" Target="../customXml/item1.xml" Id="rId12"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calcChain" Target="calcChain.xml" Id="rId11" /><Relationship Type="http://schemas.openxmlformats.org/officeDocument/2006/relationships/sharedStrings" Target="sharedStrings.xml" Id="rId10" /><Relationship Type="http://schemas.openxmlformats.org/officeDocument/2006/relationships/worksheet" Target="worksheets/sheet4.xml" Id="rId4" /><Relationship Type="http://schemas.openxmlformats.org/officeDocument/2006/relationships/styles" Target="styles.xml" Id="rId9" /><Relationship Type="http://schemas.openxmlformats.org/officeDocument/2006/relationships/customXml" Target="../customXml/item3.xml" Id="rId14" /><Relationship Type="http://schemas.openxmlformats.org/officeDocument/2006/relationships/worksheet" Target="/xl/worksheets/sheet8.xml" Id="rId15" /><Relationship Type="http://schemas.openxmlformats.org/officeDocument/2006/relationships/worksheet" Target="/xl/worksheets/sheet9.xml" Id="rId16" /></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3.emf"/><Relationship Id="rId4" Type="http://schemas.openxmlformats.org/officeDocument/2006/relationships/image" Target="../media/image2.emf"/></Relationships>
</file>

<file path=xl/drawings/_rels/drawing6.xml.rels>&#65279;<?xml version="1.0" encoding="utf-8"?><Relationships xmlns="http://schemas.openxmlformats.org/package/2006/relationships"><Relationship Type="http://schemas.openxmlformats.org/officeDocument/2006/relationships/image" Target="/xl/media/image7.png" Id="rId18" /><Relationship Type="http://schemas.openxmlformats.org/officeDocument/2006/relationships/image" Target="/xl/media/image4.emf" Id="rId19" /><Relationship Type="http://schemas.openxmlformats.org/officeDocument/2006/relationships/image" Target="/xl/media/image5.emf" Id="rId20" /></Relationships>
</file>

<file path=xl/drawings/_rels/drawing7.xml.rels>&#65279;<?xml version="1.0" encoding="utf-8"?><Relationships xmlns="http://schemas.openxmlformats.org/package/2006/relationships"><Relationship Type="http://schemas.openxmlformats.org/officeDocument/2006/relationships/image" Target="/xl/media/image8.png" Id="rId22"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11</xdr:col>
      <xdr:colOff>19050</xdr:colOff>
      <xdr:row>5</xdr:row>
      <xdr:rowOff>9525</xdr:rowOff>
    </xdr:from>
    <xdr:ext cx="4181475" cy="3676650"/>
    <xdr:pic>
      <xdr:nvPicPr>
        <xdr:cNvPr id="1" name="Afbeelding 2"/>
        <xdr:cNvPicPr>
          <a:picLocks noChangeAspect="1"/>
        </xdr:cNvPicPr>
      </xdr:nvPicPr>
      <xdr:blipFill>
        <a:blip r:embed="rId1" cstate="print"/>
        <a:stretch>
          <a:fillRect/>
        </a:stretch>
      </xdr:blipFill>
      <xdr:spPr>
        <a:xfrm>
          <a:off x="0" y="0"/>
          <a:ext cx="4181475" cy="3676650"/>
        </a:xfrm>
        <a:prstGeom prst="rect"/>
      </xdr:spPr>
    </xdr:pic>
    <xdr:clientData/>
  </xdr:oneCellAnchor>
  <xdr:oneCellAnchor>
    <xdr:from>
      <xdr:col>9</xdr:col>
      <xdr:colOff>581025</xdr:colOff>
      <xdr:row>30</xdr:row>
      <xdr:rowOff>142875</xdr:rowOff>
    </xdr:from>
    <xdr:ext cx="6267450" cy="1819275"/>
    <xdr:pic>
      <xdr:nvPicPr>
        <xdr:cNvPr id="2" name="Afbeelding 1"/>
        <xdr:cNvPicPr>
          <a:picLocks noChangeAspect="1"/>
        </xdr:cNvPicPr>
      </xdr:nvPicPr>
      <xdr:blipFill>
        <a:blip r:embed="rId2" cstate="print"/>
        <a:stretch>
          <a:fillRect/>
        </a:stretch>
      </xdr:blipFill>
      <xdr:spPr>
        <a:xfrm>
          <a:off x="0" y="0"/>
          <a:ext cx="6267450" cy="1819275"/>
        </a:xfrm>
        <a:prstGeom prst="rect"/>
      </xdr:spPr>
    </xdr:pic>
    <xdr:clientData/>
  </xdr:oneCellAnchor>
  <xdr:oneCellAnchor>
    <xdr:from>
      <xdr:col>9</xdr:col>
      <xdr:colOff>590550</xdr:colOff>
      <xdr:row>40</xdr:row>
      <xdr:rowOff>114300</xdr:rowOff>
    </xdr:from>
    <xdr:ext cx="6257925" cy="2076450"/>
    <xdr:pic>
      <xdr:nvPicPr>
        <xdr:cNvPr id="3" name="Afbeelding 3"/>
        <xdr:cNvPicPr>
          <a:picLocks noChangeAspect="1"/>
        </xdr:cNvPicPr>
      </xdr:nvPicPr>
      <xdr:blipFill>
        <a:blip r:embed="rId3" cstate="print"/>
        <a:stretch>
          <a:fillRect/>
        </a:stretch>
      </xdr:blipFill>
      <xdr:spPr>
        <a:xfrm>
          <a:off x="0" y="0"/>
          <a:ext cx="6257925" cy="207645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6</xdr:col>
      <xdr:colOff>361950</xdr:colOff>
      <xdr:row>5</xdr:row>
      <xdr:rowOff>0</xdr:rowOff>
    </xdr:from>
    <xdr:ext cx="5162550" cy="1762125"/>
    <xdr:pic>
      <xdr:nvPicPr>
        <xdr:cNvPr id="1" name="Afbeelding 2"/>
        <xdr:cNvPicPr>
          <a:picLocks noChangeAspect="1"/>
        </xdr:cNvPicPr>
      </xdr:nvPicPr>
      <xdr:blipFill>
        <a:blip r:embed="rId1" cstate="print"/>
        <a:stretch>
          <a:fillRect/>
        </a:stretch>
      </xdr:blipFill>
      <xdr:spPr>
        <a:xfrm>
          <a:off x="0" y="0"/>
          <a:ext cx="5162550" cy="1762125"/>
        </a:xfrm>
        <a:prstGeom prst="rect"/>
      </xdr:spPr>
    </xdr:pic>
    <xdr:clientData/>
  </xdr:oneCellAnchor>
  <xdr:oneCellAnchor>
    <xdr:from>
      <xdr:col>6</xdr:col>
      <xdr:colOff>342900</xdr:colOff>
      <xdr:row>18</xdr:row>
      <xdr:rowOff>19050</xdr:rowOff>
    </xdr:from>
    <xdr:ext cx="5172075" cy="1990725"/>
    <xdr:pic>
      <xdr:nvPicPr>
        <xdr:cNvPr id="2" name="Afbeelding 3"/>
        <xdr:cNvPicPr>
          <a:picLocks noChangeAspect="1"/>
        </xdr:cNvPicPr>
      </xdr:nvPicPr>
      <xdr:blipFill>
        <a:blip r:embed="rId2" cstate="print"/>
        <a:stretch>
          <a:fillRect/>
        </a:stretch>
      </xdr:blipFill>
      <xdr:spPr>
        <a:xfrm>
          <a:off x="0" y="0"/>
          <a:ext cx="5172075" cy="1990725"/>
        </a:xfrm>
        <a:prstGeom prst="rect"/>
      </xdr:spPr>
    </xdr:pic>
    <xdr:clientData/>
  </xdr:oneCellAnchor>
  <xdr:twoCellAnchor>
    <xdr:from>
      <xdr:col>1</xdr:col>
      <xdr:colOff>476250</xdr:colOff>
      <xdr:row>23</xdr:row>
      <xdr:rowOff>104775</xdr:rowOff>
    </xdr:from>
    <xdr:to>
      <xdr:col>1</xdr:col>
      <xdr:colOff>2686050</xdr:colOff>
      <xdr:row>28</xdr:row>
      <xdr:rowOff>133350</xdr:rowOff>
    </xdr:to>
    <xdr:pic>
      <xdr:nvPicPr>
        <xdr:cNvPr id="3" name="Afbeelding 3"/>
        <xdr:cNvPicPr>
          <a:picLocks noChangeAspect="1"/>
        </xdr:cNvPicPr>
      </xdr:nvPicPr>
      <xdr:blipFill>
        <a:blip r:embed="rId3" cstate="print"/>
        <a:stretch>
          <a:fillRect/>
        </a:stretch>
      </xdr:blipFill>
      <xdr:spPr>
        <a:xfrm>
          <a:off x="0" y="0"/>
          <a:ext cx="2209800" cy="933450"/>
        </a:xfrm>
        <a:prstGeom prst="rect"/>
      </xdr:spPr>
    </xdr:pic>
    <xdr:clientData/>
  </xdr:twoCellAnchor>
  <xdr:oneCellAnchor>
    <xdr:from>
      <xdr:col>7</xdr:col>
      <xdr:colOff>0</xdr:colOff>
      <xdr:row>32</xdr:row>
      <xdr:rowOff>0</xdr:rowOff>
    </xdr:from>
    <xdr:ext cx="6257925" cy="1885950"/>
    <xdr:pic>
      <xdr:nvPicPr>
        <xdr:cNvPr id="4" name="Afbeelding 4"/>
        <xdr:cNvPicPr>
          <a:picLocks noChangeAspect="1"/>
        </xdr:cNvPicPr>
      </xdr:nvPicPr>
      <xdr:blipFill>
        <a:blip r:embed="rId4" cstate="print"/>
        <a:stretch>
          <a:fillRect/>
        </a:stretch>
      </xdr:blipFill>
      <xdr:spPr>
        <a:xfrm>
          <a:off x="0" y="0"/>
          <a:ext cx="6257925" cy="1885950"/>
        </a:xfrm>
        <a:prstGeom prst="rect"/>
      </xdr:spPr>
    </xdr:pic>
    <xdr:clientData/>
  </xdr:oneCellAnchor>
  <xdr:oneCellAnchor>
    <xdr:from>
      <xdr:col>7</xdr:col>
      <xdr:colOff>9525</xdr:colOff>
      <xdr:row>41</xdr:row>
      <xdr:rowOff>152400</xdr:rowOff>
    </xdr:from>
    <xdr:ext cx="6257925" cy="2076450"/>
    <xdr:pic>
      <xdr:nvPicPr>
        <xdr:cNvPr id="5" name="Afbeelding 6"/>
        <xdr:cNvPicPr>
          <a:picLocks noChangeAspect="1"/>
        </xdr:cNvPicPr>
      </xdr:nvPicPr>
      <xdr:blipFill>
        <a:blip r:embed="rId5" cstate="print"/>
        <a:stretch>
          <a:fillRect/>
        </a:stretch>
      </xdr:blipFill>
      <xdr:spPr>
        <a:xfrm>
          <a:off x="0" y="0"/>
          <a:ext cx="6257925" cy="2076450"/>
        </a:xfrm>
        <a:prstGeom prst="rec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9</xdr:col>
      <xdr:colOff>123825</xdr:colOff>
      <xdr:row>0</xdr:row>
      <xdr:rowOff>123825</xdr:rowOff>
    </xdr:from>
    <xdr:ext cx="5514975" cy="923925"/>
    <xdr:pic>
      <xdr:nvPicPr>
        <xdr:cNvPr id="1" name="Afbeelding 2"/>
        <xdr:cNvPicPr>
          <a:picLocks noChangeAspect="1"/>
        </xdr:cNvPicPr>
      </xdr:nvPicPr>
      <xdr:blipFill>
        <a:blip r:embed="rId18" cstate="print"/>
        <a:stretch>
          <a:fillRect/>
        </a:stretch>
      </xdr:blipFill>
      <xdr:spPr>
        <a:xfrm>
          <a:off x="0" y="0"/>
          <a:ext cx="5514975" cy="923925"/>
        </a:xfrm>
        <a:prstGeom prst="rect"/>
      </xdr:spPr>
    </xdr:pic>
    <xdr:clientData/>
  </xdr:oneCellAnchor>
  <xdr:oneCellAnchor>
    <xdr:from>
      <xdr:col>10</xdr:col>
      <xdr:colOff>0</xdr:colOff>
      <xdr:row>31</xdr:row>
      <xdr:rowOff>0</xdr:rowOff>
    </xdr:from>
    <xdr:ext cx="6257925" cy="1885950"/>
    <xdr:pic>
      <xdr:nvPicPr>
        <xdr:cNvPr id="2" name="Afbeelding 1"/>
        <xdr:cNvPicPr>
          <a:picLocks noChangeAspect="1"/>
        </xdr:cNvPicPr>
      </xdr:nvPicPr>
      <xdr:blipFill>
        <a:blip r:embed="rId19" cstate="print"/>
        <a:stretch>
          <a:fillRect/>
        </a:stretch>
      </xdr:blipFill>
      <xdr:spPr>
        <a:xfrm>
          <a:off x="0" y="0"/>
          <a:ext cx="6257925" cy="1885950"/>
        </a:xfrm>
        <a:prstGeom prst="rect"/>
      </xdr:spPr>
    </xdr:pic>
    <xdr:clientData/>
  </xdr:oneCellAnchor>
  <xdr:oneCellAnchor>
    <xdr:from>
      <xdr:col>10</xdr:col>
      <xdr:colOff>9525</xdr:colOff>
      <xdr:row>40</xdr:row>
      <xdr:rowOff>180975</xdr:rowOff>
    </xdr:from>
    <xdr:ext cx="6257925" cy="2076450"/>
    <xdr:pic>
      <xdr:nvPicPr>
        <xdr:cNvPr id="3" name="Afbeelding 4"/>
        <xdr:cNvPicPr>
          <a:picLocks noChangeAspect="1"/>
        </xdr:cNvPicPr>
      </xdr:nvPicPr>
      <xdr:blipFill>
        <a:blip r:embed="rId20" cstate="print"/>
        <a:stretch>
          <a:fillRect/>
        </a:stretch>
      </xdr:blipFill>
      <xdr:spPr>
        <a:xfrm>
          <a:off x="0" y="0"/>
          <a:ext cx="6257925" cy="2076450"/>
        </a:xfrm>
        <a:prstGeom prst="rect"/>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6</xdr:col>
      <xdr:colOff>314325</xdr:colOff>
      <xdr:row>3</xdr:row>
      <xdr:rowOff>66675</xdr:rowOff>
    </xdr:from>
    <xdr:ext cx="7200900" cy="1552575"/>
    <xdr:pic>
      <xdr:nvPicPr>
        <xdr:cNvPr id="1" name="Afbeelding 2"/>
        <xdr:cNvPicPr>
          <a:picLocks noChangeAspect="1"/>
        </xdr:cNvPicPr>
      </xdr:nvPicPr>
      <xdr:blipFill>
        <a:blip r:embed="rId22" cstate="print"/>
        <a:stretch>
          <a:fillRect/>
        </a:stretch>
      </xdr:blipFill>
      <xdr:spPr>
        <a:xfrm>
          <a:off x="0" y="0"/>
          <a:ext cx="7200900" cy="1552575"/>
        </a:xfrm>
        <a:prstGeom prst="rec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&#65279;<?xml version="1.0" encoding="utf-8"?><Relationships xmlns="http://schemas.openxmlformats.org/package/2006/relationships"><Relationship Type="http://schemas.openxmlformats.org/officeDocument/2006/relationships/drawing" Target="/xl/drawings/drawing6.xml" Id="rId17" /></Relationships>
</file>

<file path=xl/worksheets/_rels/sheet9.xml.rels>&#65279;<?xml version="1.0" encoding="utf-8"?><Relationships xmlns="http://schemas.openxmlformats.org/package/2006/relationships"><Relationship Type="http://schemas.openxmlformats.org/officeDocument/2006/relationships/drawing" Target="/xl/drawings/drawing7.xml" Id="rId2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F5EAFE5-945E-48E5-81C5-4131863498F1}" mc:Ignorable="x14ac xr xr2 xr3">
  <x:sheetPr>
    <x:outlinePr summaryBelow="1" summaryRight="1"/>
  </x:sheetPr>
  <x:dimension ref="A2:C6"/>
  <x:sheetViews>
    <x:sheetView workbookViewId="0">
      <x:selection activeCell="B37" sqref="B37"/>
    </x:sheetView>
  </x:sheetViews>
  <x:sheetFormatPr defaultRowHeight="15" x14ac:dyDescent="0.25"/>
  <x:cols>
    <x:col min="1" max="1" width="13.425781" style="0" customWidth="1"/>
    <x:col min="2" max="2" width="137.425781" style="0" customWidth="1"/>
    <x:col min="3" max="3" width="9.140625" style="27" customWidth="1"/>
  </x:cols>
  <x:sheetData>
    <x:row r="2" spans="1:3" x14ac:dyDescent="0.25">
      <x:c r="A2" s="123" t="s">
        <x:v>0</x:v>
      </x:c>
      <x:c r="B2" s="123" t="s">
        <x:v>1</x:v>
      </x:c>
      <x:c r="C2" s="123" t="s">
        <x:v>2</x:v>
      </x:c>
    </x:row>
    <x:row r="3" spans="1:3" x14ac:dyDescent="0.25">
      <x:c r="A3" s="125" t="s">
        <x:v>3</x:v>
      </x:c>
      <x:c r="B3" s="125" t="s">
        <x:v>4</x:v>
      </x:c>
      <x:c r="C3" s="27" t="s">
        <x:v>5</x:v>
      </x:c>
    </x:row>
    <x:row r="4" spans="1:3" x14ac:dyDescent="0.25">
      <x:c r="A4" s="124">
        <x:v>45839</x:v>
      </x:c>
      <x:c r="B4" s="125" t="s">
        <x:v>6</x:v>
      </x:c>
      <x:c r="C4" s="27" t="s">
        <x:v>7</x:v>
      </x:c>
    </x:row>
    <x:row r="5" spans="1:3" x14ac:dyDescent="0.25">
      <x:c r="B5" s="122"/>
    </x:row>
    <x:row r="6" spans="1:3" x14ac:dyDescent="0.25">
      <x:c r="B6" s="122"/>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C2CC5DD-1E0E-481F-927C-EC73CD8A3787}" mc:Ignorable="x14ac xr xr2 xr3">
  <x:sheetPr>
    <x:outlinePr summaryBelow="1" summaryRight="1"/>
  </x:sheetPr>
  <x:dimension ref="A1:T50"/>
  <x:sheetViews>
    <x:sheetView topLeftCell="A13" zoomScale="85" zoomScaleNormal="85" workbookViewId="0">
      <x:selection activeCell="B56" sqref="B56"/>
    </x:sheetView>
  </x:sheetViews>
  <x:sheetFormatPr defaultRowHeight="15" x14ac:dyDescent="0.25"/>
  <x:cols>
    <x:col min="1" max="1" width="8.285156" style="9" bestFit="1" customWidth="1"/>
    <x:col min="2" max="2" width="82.425781" style="0" customWidth="1"/>
    <x:col min="3" max="3" width="12.285156" style="3" bestFit="1" customWidth="1"/>
    <x:col min="4" max="6" width="11.710938" style="3" customWidth="1"/>
    <x:col min="7" max="8" width="10.855469" style="3" customWidth="1"/>
    <x:col min="9" max="9" width="3.285156" style="0" customWidth="1"/>
    <x:col min="10" max="10" width="9.140625" style="0" customWidth="1"/>
    <x:col min="11" max="11" width="14.425781" style="0" customWidth="1"/>
    <x:col min="12" max="12" width="9.140625" style="0" customWidth="1"/>
    <x:col min="13" max="13" width="10" style="0" customWidth="1"/>
    <x:col min="14" max="19" width="9.140625" style="0" customWidth="1"/>
    <x:col min="20" max="20" width="21.285156" style="0" customWidth="1"/>
  </x:cols>
  <x:sheetData>
    <x:row r="1" spans="1:20" ht="18.75" customHeight="1" x14ac:dyDescent="0.3">
      <x:c r="A1" s="60" t="s">
        <x:v>8</x:v>
      </x:c>
      <x:c r="B1" s="60"/>
      <x:c r="C1" s="60"/>
      <x:c r="D1" s="60"/>
      <x:c r="E1" s="60"/>
      <x:c r="F1" s="60"/>
      <x:c r="G1" s="60"/>
      <x:c r="H1" s="60"/>
    </x:row>
    <x:row r="2" spans="1:20" ht="54.6" customHeight="1" s="6" customFormat="1" x14ac:dyDescent="0.25">
      <x:c r="A2" s="8" t="s">
        <x:v>9</x:v>
      </x:c>
      <x:c r="B2" s="5" t="s">
        <x:v>10</x:v>
      </x:c>
      <x:c r="C2" s="5" t="s">
        <x:v>11</x:v>
      </x:c>
      <x:c r="D2" s="5" t="s">
        <x:v>12</x:v>
      </x:c>
      <x:c r="E2" s="8" t="s">
        <x:v>13</x:v>
      </x:c>
      <x:c r="F2" s="8" t="s">
        <x:v>14</x:v>
      </x:c>
      <x:c r="G2" s="8" t="s">
        <x:v>15</x:v>
      </x:c>
      <x:c r="H2" s="8" t="s">
        <x:v>16</x:v>
      </x:c>
    </x:row>
    <x:row r="4" spans="1:20" x14ac:dyDescent="0.25">
      <x:c r="A4" s="137"/>
      <x:c r="B4" s="2" t="s">
        <x:v>17</x:v>
      </x:c>
      <x:c r="K4" s="12" t="s">
        <x:v>18</x:v>
      </x:c>
      <x:c r="L4" s="138"/>
      <x:c r="M4" s="12" t="s">
        <x:v>19</x:v>
      </x:c>
    </x:row>
    <x:row r="5" spans="1:20" x14ac:dyDescent="0.25">
      <x:c r="A5" s="139">
        <x:v>2</x:v>
      </x:c>
      <x:c r="B5" s="0" t="s">
        <x:v>20</x:v>
      </x:c>
      <x:c r="C5" s="140">
        <x:v>9.5</x:v>
      </x:c>
      <x:c r="D5" s="140">
        <x:v>9.5</x:v>
      </x:c>
      <x:c r="E5" s="140">
        <x:f>C5*A5</x:f>
      </x:c>
      <x:c r="F5" s="140">
        <x:f>D5*A5</x:f>
      </x:c>
      <x:c r="G5" s="140">
        <x:f>C5*0.23*3*A5</x:f>
      </x:c>
      <x:c r="H5" s="140">
        <x:f>D5*0.23*3*A5</x:f>
      </x:c>
      <x:c r="T5" s="1"/>
    </x:row>
    <x:row r="6" spans="1:20" x14ac:dyDescent="0.25">
      <x:c r="A6" s="139"/>
      <x:c r="B6" s="0" t="s">
        <x:v>21</x:v>
      </x:c>
      <x:c r="C6" s="140">
        <x:v>8</x:v>
      </x:c>
      <x:c r="D6" s="140">
        <x:v>7.3</x:v>
      </x:c>
      <x:c r="E6" s="140">
        <x:f>C6*A6</x:f>
      </x:c>
      <x:c r="F6" s="140">
        <x:f>D6*A6</x:f>
      </x:c>
      <x:c r="G6" s="140">
        <x:f>C6*0.23*3*A6</x:f>
      </x:c>
      <x:c r="H6" s="140">
        <x:f>D6*0.23*3*A6</x:f>
      </x:c>
      <x:c r="T6" s="1"/>
    </x:row>
    <x:row r="7" spans="1:20" x14ac:dyDescent="0.25">
      <x:c r="A7" s="139"/>
      <x:c r="B7" s="0" t="s">
        <x:v>22</x:v>
      </x:c>
      <x:c r="C7" s="140">
        <x:v>7</x:v>
      </x:c>
      <x:c r="D7" s="140">
        <x:v>7.3</x:v>
      </x:c>
      <x:c r="E7" s="140">
        <x:f>C7*A7</x:f>
      </x:c>
      <x:c r="F7" s="140">
        <x:f>D7*A7</x:f>
      </x:c>
      <x:c r="G7" s="140">
        <x:f>C7*0.23*3*A7</x:f>
      </x:c>
      <x:c r="H7" s="140">
        <x:f>D7*0.23*3*A7</x:f>
      </x:c>
      <x:c r="T7" s="1"/>
    </x:row>
    <x:row r="8" spans="1:20" x14ac:dyDescent="0.25">
      <x:c r="A8" s="139"/>
      <x:c r="B8" s="0" t="s">
        <x:v>23</x:v>
      </x:c>
      <x:c r="C8" s="140">
        <x:v>7.6</x:v>
      </x:c>
      <x:c r="D8" s="140">
        <x:v>7.3</x:v>
      </x:c>
      <x:c r="E8" s="140">
        <x:f>C8*A8</x:f>
      </x:c>
      <x:c r="F8" s="140">
        <x:f>D8*A8</x:f>
      </x:c>
      <x:c r="G8" s="140">
        <x:f>C8*0.23*3*A8</x:f>
      </x:c>
      <x:c r="H8" s="140">
        <x:f>D8*0.23*3*A8</x:f>
      </x:c>
      <x:c r="T8" s="1"/>
    </x:row>
    <x:row r="9" spans="1:20" x14ac:dyDescent="0.25">
      <x:c r="A9" s="137"/>
      <x:c r="C9" s="4"/>
      <x:c r="D9" s="4"/>
      <x:c r="E9" s="4"/>
      <x:c r="F9" s="4"/>
      <x:c r="G9" s="4"/>
      <x:c r="H9" s="4"/>
      <x:c r="T9" s="1"/>
    </x:row>
    <x:row r="10" spans="1:20" x14ac:dyDescent="0.25">
      <x:c r="A10" s="137"/>
      <x:c r="B10" s="2" t="s">
        <x:v>24</x:v>
      </x:c>
      <x:c r="C10" s="4"/>
      <x:c r="D10" s="4"/>
      <x:c r="E10" s="4"/>
      <x:c r="F10" s="4"/>
      <x:c r="G10" s="4"/>
      <x:c r="H10" s="4"/>
    </x:row>
    <x:row r="11" spans="1:20" x14ac:dyDescent="0.25">
      <x:c r="A11" s="139"/>
      <x:c r="B11" s="0" t="s">
        <x:v>20</x:v>
      </x:c>
      <x:c r="C11" s="140">
        <x:v>3.3</x:v>
      </x:c>
      <x:c r="D11" s="140">
        <x:v>9.5</x:v>
      </x:c>
      <x:c r="E11" s="140">
        <x:f>C11*A11</x:f>
      </x:c>
      <x:c r="F11" s="140">
        <x:f>D11*A11</x:f>
      </x:c>
      <x:c r="G11" s="140">
        <x:f>C11*0.23*3*A11</x:f>
      </x:c>
      <x:c r="H11" s="140">
        <x:f>D11*0.23*3*A11</x:f>
      </x:c>
    </x:row>
    <x:row r="12" spans="1:20" x14ac:dyDescent="0.25">
      <x:c r="A12" s="139"/>
      <x:c r="B12" s="0" t="s">
        <x:v>25</x:v>
      </x:c>
      <x:c r="C12" s="140">
        <x:v>3.3</x:v>
      </x:c>
      <x:c r="D12" s="140">
        <x:v>7.3</x:v>
      </x:c>
      <x:c r="E12" s="140">
        <x:f>C12*A12</x:f>
      </x:c>
      <x:c r="F12" s="140">
        <x:f>D12*A12</x:f>
      </x:c>
      <x:c r="G12" s="140">
        <x:f>C12*0.23*3*A12</x:f>
      </x:c>
      <x:c r="H12" s="140">
        <x:f>D12*0.23*3*A12</x:f>
      </x:c>
    </x:row>
    <x:row r="13" spans="1:20" x14ac:dyDescent="0.25">
      <x:c r="A13" s="139"/>
      <x:c r="B13" s="0" t="s">
        <x:v>22</x:v>
      </x:c>
      <x:c r="C13" s="140">
        <x:v>3.3</x:v>
      </x:c>
      <x:c r="D13" s="140">
        <x:v>7.3</x:v>
      </x:c>
      <x:c r="E13" s="140">
        <x:f>C13*A13</x:f>
      </x:c>
      <x:c r="F13" s="140">
        <x:f>D13*A13</x:f>
      </x:c>
      <x:c r="G13" s="140">
        <x:f>C13*0.23*3*A13</x:f>
      </x:c>
      <x:c r="H13" s="140">
        <x:f>D13*0.23*3*A13</x:f>
      </x:c>
    </x:row>
    <x:row r="14" spans="1:20" x14ac:dyDescent="0.25">
      <x:c r="A14" s="139"/>
      <x:c r="B14" s="0" t="s">
        <x:v>23</x:v>
      </x:c>
      <x:c r="C14" s="140">
        <x:v>3.3</x:v>
      </x:c>
      <x:c r="D14" s="140">
        <x:v>7.3</x:v>
      </x:c>
      <x:c r="E14" s="140">
        <x:f>C14*A14</x:f>
      </x:c>
      <x:c r="F14" s="140">
        <x:f>D14*A14</x:f>
      </x:c>
      <x:c r="G14" s="140">
        <x:f>C14*0.23*3*A14</x:f>
      </x:c>
      <x:c r="H14" s="140">
        <x:f>D14*0.23*3*A14</x:f>
      </x:c>
    </x:row>
    <x:row r="15" spans="1:20" x14ac:dyDescent="0.25">
      <x:c r="A15" s="137"/>
      <x:c r="C15" s="4"/>
      <x:c r="D15" s="4"/>
      <x:c r="E15" s="4"/>
      <x:c r="F15" s="4"/>
      <x:c r="G15" s="4"/>
      <x:c r="H15" s="4"/>
    </x:row>
    <x:row r="16" spans="1:20" x14ac:dyDescent="0.25">
      <x:c r="A16" s="137"/>
      <x:c r="B16" s="2" t="s">
        <x:v>26</x:v>
      </x:c>
      <x:c r="C16" s="4"/>
      <x:c r="D16" s="4"/>
      <x:c r="E16" s="4"/>
      <x:c r="F16" s="4"/>
      <x:c r="G16" s="4"/>
      <x:c r="H16" s="4"/>
    </x:row>
    <x:row r="17" spans="1:20" x14ac:dyDescent="0.25">
      <x:c r="A17" s="139"/>
      <x:c r="B17" s="0" t="s">
        <x:v>27</x:v>
      </x:c>
      <x:c r="C17" s="140">
        <x:v>2.8</x:v>
      </x:c>
      <x:c r="D17" s="141"/>
      <x:c r="E17" s="140">
        <x:f>C17*A17</x:f>
      </x:c>
      <x:c r="F17" s="141"/>
      <x:c r="G17" s="140">
        <x:f>C17*0.23*3*A17</x:f>
      </x:c>
      <x:c r="H17" s="141"/>
    </x:row>
    <x:row r="18" spans="1:20" x14ac:dyDescent="0.25">
      <x:c r="A18" s="137"/>
      <x:c r="B18" s="0" t="s">
        <x:v>28</x:v>
      </x:c>
      <x:c r="C18" s="141"/>
      <x:c r="D18" s="141"/>
      <x:c r="E18" s="140">
        <x:f>G18*1000/(3*230)</x:f>
      </x:c>
      <x:c r="F18" s="141"/>
      <x:c r="G18" s="142"/>
      <x:c r="H18" s="141"/>
    </x:row>
    <x:row r="19" spans="1:20" x14ac:dyDescent="0.25">
      <x:c r="A19" s="137"/>
      <x:c r="C19" s="4"/>
      <x:c r="D19" s="4"/>
      <x:c r="E19" s="4"/>
      <x:c r="F19" s="4"/>
      <x:c r="G19" s="4"/>
      <x:c r="H19" s="4"/>
    </x:row>
    <x:row r="20" spans="1:20" x14ac:dyDescent="0.25">
      <x:c r="A20" s="137"/>
      <x:c r="B20" s="2" t="s">
        <x:v>29</x:v>
      </x:c>
      <x:c r="C20" s="4"/>
      <x:c r="D20" s="4"/>
      <x:c r="E20" s="4"/>
      <x:c r="F20" s="4"/>
      <x:c r="G20" s="4"/>
      <x:c r="H20" s="4"/>
    </x:row>
    <x:row r="21" spans="1:20" x14ac:dyDescent="0.25">
      <x:c r="A21" s="139"/>
      <x:c r="B21" s="0" t="s">
        <x:v>27</x:v>
      </x:c>
      <x:c r="C21" s="140">
        <x:v>5.5</x:v>
      </x:c>
      <x:c r="D21" s="141"/>
      <x:c r="E21" s="140">
        <x:f>C21*A21</x:f>
      </x:c>
      <x:c r="F21" s="141"/>
      <x:c r="G21" s="140">
        <x:f>C21*0.23*3*A21</x:f>
      </x:c>
      <x:c r="H21" s="141"/>
    </x:row>
    <x:row r="22" spans="1:20" x14ac:dyDescent="0.25">
      <x:c r="A22" s="137"/>
      <x:c r="B22" s="2"/>
      <x:c r="C22" s="4"/>
      <x:c r="D22" s="4"/>
      <x:c r="E22" s="4"/>
      <x:c r="F22" s="4"/>
      <x:c r="G22" s="4"/>
      <x:c r="H22" s="4"/>
    </x:row>
    <x:row r="23" spans="1:20" x14ac:dyDescent="0.25">
      <x:c r="A23" s="137"/>
      <x:c r="B23" s="2" t="s">
        <x:v>30</x:v>
      </x:c>
      <x:c r="C23" s="4"/>
      <x:c r="D23" s="4"/>
      <x:c r="E23" s="4"/>
      <x:c r="F23" s="4"/>
      <x:c r="G23" s="4"/>
      <x:c r="H23" s="4"/>
    </x:row>
    <x:row r="24" spans="1:20" x14ac:dyDescent="0.25">
      <x:c r="A24" s="137"/>
      <x:c r="B24" s="0" t="s">
        <x:v>31</x:v>
      </x:c>
      <x:c r="C24" s="141"/>
      <x:c r="D24" s="141"/>
      <x:c r="E24" s="140">
        <x:f>G24*1000/(3*230)</x:f>
      </x:c>
      <x:c r="F24" s="141"/>
      <x:c r="G24" s="142"/>
      <x:c r="H24" s="141"/>
    </x:row>
    <x:row r="25" spans="1:20" x14ac:dyDescent="0.25">
      <x:c r="A25" s="137"/>
      <x:c r="C25" s="4"/>
      <x:c r="D25" s="4"/>
      <x:c r="E25" s="4"/>
      <x:c r="F25" s="4"/>
      <x:c r="G25" s="4"/>
      <x:c r="H25" s="4"/>
    </x:row>
    <x:row r="26" spans="1:20" x14ac:dyDescent="0.25">
      <x:c r="A26" s="137"/>
      <x:c r="B26" s="2" t="s">
        <x:v>32</x:v>
      </x:c>
      <x:c r="C26" s="4"/>
      <x:c r="D26" s="4"/>
      <x:c r="E26" s="4"/>
      <x:c r="F26" s="4"/>
      <x:c r="G26" s="4"/>
      <x:c r="H26" s="4"/>
    </x:row>
    <x:row r="27" spans="1:20" x14ac:dyDescent="0.25">
      <x:c r="A27" s="139"/>
      <x:c r="B27" s="0" t="s">
        <x:v>33</x:v>
      </x:c>
      <x:c r="C27" s="140">
        <x:v>8.7</x:v>
      </x:c>
      <x:c r="D27" s="140">
        <x:v>8.7</x:v>
      </x:c>
      <x:c r="E27" s="140">
        <x:f>C27*A27</x:f>
      </x:c>
      <x:c r="F27" s="140">
        <x:f>D27*A27</x:f>
      </x:c>
      <x:c r="G27" s="140">
        <x:f>C27*0.23*3*A27</x:f>
      </x:c>
      <x:c r="H27" s="140">
        <x:f>D27*0.23*3*A27</x:f>
      </x:c>
    </x:row>
    <x:row r="28" spans="1:20" x14ac:dyDescent="0.25">
      <x:c r="A28" s="139"/>
      <x:c r="B28" s="0" t="s">
        <x:v>34</x:v>
      </x:c>
      <x:c r="C28" s="140">
        <x:v>32</x:v>
      </x:c>
      <x:c r="D28" s="140">
        <x:v>32</x:v>
      </x:c>
      <x:c r="E28" s="140">
        <x:f>C28*A28</x:f>
      </x:c>
      <x:c r="F28" s="140">
        <x:f>D28*A28</x:f>
      </x:c>
      <x:c r="G28" s="140">
        <x:f>C28*0.23*3*A28</x:f>
      </x:c>
      <x:c r="H28" s="140">
        <x:f>D28*0.23*3*A28</x:f>
      </x:c>
    </x:row>
    <x:row r="29" spans="1:20" x14ac:dyDescent="0.25">
      <x:c r="A29" s="139"/>
      <x:c r="B29" s="0" t="s">
        <x:v>35</x:v>
      </x:c>
      <x:c r="C29" s="140">
        <x:v>44</x:v>
      </x:c>
      <x:c r="D29" s="140">
        <x:v>44</x:v>
      </x:c>
      <x:c r="E29" s="140">
        <x:f>C29*A29</x:f>
      </x:c>
      <x:c r="F29" s="140">
        <x:f>D29*A29</x:f>
      </x:c>
      <x:c r="G29" s="140">
        <x:f>C29*0.23*3*A29</x:f>
      </x:c>
      <x:c r="H29" s="140">
        <x:f>D29*0.23*3*A29</x:f>
      </x:c>
    </x:row>
    <x:row r="30" spans="1:20" x14ac:dyDescent="0.25">
      <x:c r="A30" s="139"/>
      <x:c r="B30" s="0" t="s">
        <x:v>36</x:v>
      </x:c>
      <x:c r="C30" s="140">
        <x:v>65</x:v>
      </x:c>
      <x:c r="D30" s="140">
        <x:v>65</x:v>
      </x:c>
      <x:c r="E30" s="140">
        <x:f>C30*A30</x:f>
      </x:c>
      <x:c r="F30" s="140">
        <x:f>D30*A30</x:f>
      </x:c>
      <x:c r="G30" s="140">
        <x:f>C30*0.23*3*A30</x:f>
      </x:c>
      <x:c r="H30" s="140">
        <x:f>D30*0.23*3*A30</x:f>
      </x:c>
      <x:c r="K30" s="0" t="s">
        <x:v>37</x:v>
      </x:c>
    </x:row>
    <x:row r="31" spans="1:20" x14ac:dyDescent="0.25">
      <x:c r="A31" s="137"/>
      <x:c r="C31" s="4"/>
      <x:c r="D31" s="4"/>
      <x:c r="E31" s="4"/>
      <x:c r="F31" s="4"/>
      <x:c r="G31" s="4"/>
      <x:c r="H31" s="4"/>
    </x:row>
    <x:row r="32" spans="1:20" x14ac:dyDescent="0.25">
      <x:c r="A32" s="137"/>
      <x:c r="B32" s="2" t="s">
        <x:v>38</x:v>
      </x:c>
      <x:c r="C32" s="4"/>
      <x:c r="D32" s="4"/>
      <x:c r="E32" s="4"/>
      <x:c r="F32" s="4"/>
      <x:c r="G32" s="4"/>
      <x:c r="H32" s="4"/>
    </x:row>
    <x:row r="33" spans="1:20" x14ac:dyDescent="0.25">
      <x:c r="A33" s="139"/>
      <x:c r="B33" s="0" t="s">
        <x:v>39</x:v>
      </x:c>
      <x:c r="C33" s="140">
        <x:v>138</x:v>
      </x:c>
      <x:c r="D33" s="140">
        <x:v>138</x:v>
      </x:c>
      <x:c r="E33" s="140">
        <x:f>C33*A33</x:f>
      </x:c>
      <x:c r="F33" s="140">
        <x:f>D33*A33</x:f>
      </x:c>
      <x:c r="G33" s="140">
        <x:f>C33*0.23*3*A33</x:f>
      </x:c>
      <x:c r="H33" s="140">
        <x:f>D33*0.23*3*A33</x:f>
      </x:c>
    </x:row>
    <x:row r="34" spans="1:20" x14ac:dyDescent="0.25">
      <x:c r="A34" s="139"/>
      <x:c r="B34" s="0" t="s">
        <x:v>40</x:v>
      </x:c>
      <x:c r="C34" s="140">
        <x:v>210</x:v>
      </x:c>
      <x:c r="D34" s="140">
        <x:v>210</x:v>
      </x:c>
      <x:c r="E34" s="140">
        <x:f>C34*A34</x:f>
      </x:c>
      <x:c r="F34" s="140">
        <x:f>D34*A34</x:f>
      </x:c>
      <x:c r="G34" s="140">
        <x:f>C34*0.23*3*A34</x:f>
      </x:c>
      <x:c r="H34" s="140">
        <x:f>D34*0.23*3*A34</x:f>
      </x:c>
    </x:row>
    <x:row r="35" spans="1:20" x14ac:dyDescent="0.25">
      <x:c r="A35" s="139"/>
      <x:c r="B35" s="0" t="s">
        <x:v>41</x:v>
      </x:c>
      <x:c r="C35" s="139"/>
      <x:c r="D35" s="139"/>
      <x:c r="E35" s="140">
        <x:f>C35*A35</x:f>
      </x:c>
      <x:c r="F35" s="140">
        <x:f>D35*A35</x:f>
      </x:c>
      <x:c r="G35" s="140">
        <x:f>C35*0.23*3*A35</x:f>
      </x:c>
      <x:c r="H35" s="140">
        <x:f>D35*0.23*3*A35</x:f>
      </x:c>
    </x:row>
    <x:row r="36" spans="1:20" x14ac:dyDescent="0.25">
      <x:c r="A36" s="137"/>
      <x:c r="C36" s="4"/>
      <x:c r="D36" s="4"/>
      <x:c r="E36" s="4"/>
      <x:c r="F36" s="4"/>
      <x:c r="G36" s="4"/>
      <x:c r="H36" s="4"/>
    </x:row>
    <x:row r="37" spans="1:20" x14ac:dyDescent="0.25">
      <x:c r="A37" s="137"/>
      <x:c r="B37" s="2" t="s">
        <x:v>42</x:v>
      </x:c>
      <x:c r="C37" s="4"/>
      <x:c r="D37" s="4"/>
      <x:c r="E37" s="4"/>
      <x:c r="F37" s="4"/>
      <x:c r="G37" s="4"/>
      <x:c r="H37" s="4"/>
    </x:row>
    <x:row r="38" spans="1:20" x14ac:dyDescent="0.25">
      <x:c r="A38" s="139"/>
      <x:c r="B38" s="0" t="s">
        <x:v>43</x:v>
      </x:c>
      <x:c r="C38" s="140">
        <x:v>5.8</x:v>
      </x:c>
      <x:c r="D38" s="141"/>
      <x:c r="E38" s="140">
        <x:f>C38*A38</x:f>
      </x:c>
      <x:c r="F38" s="141"/>
      <x:c r="G38" s="140">
        <x:f>C38*0.23*3*A38</x:f>
      </x:c>
      <x:c r="H38" s="141"/>
    </x:row>
    <x:row r="39" spans="1:20" x14ac:dyDescent="0.25">
      <x:c r="A39" s="137"/>
    </x:row>
    <x:row r="40" spans="1:20" x14ac:dyDescent="0.25">
      <x:c r="A40" s="137"/>
      <x:c r="B40" s="2" t="s">
        <x:v>44</x:v>
      </x:c>
    </x:row>
    <x:row r="41" spans="1:20" x14ac:dyDescent="0.25">
      <x:c r="A41" s="139"/>
      <x:c r="B41" s="0" t="s">
        <x:v>45</x:v>
      </x:c>
      <x:c r="C41" s="140">
        <x:v>5.8</x:v>
      </x:c>
      <x:c r="D41" s="141"/>
      <x:c r="E41" s="140">
        <x:f>C41*A41</x:f>
      </x:c>
      <x:c r="F41" s="141"/>
      <x:c r="G41" s="140">
        <x:f>C41*0.23*3*A41</x:f>
      </x:c>
      <x:c r="H41" s="141"/>
    </x:row>
    <x:row r="42" spans="1:20" x14ac:dyDescent="0.25">
      <x:c r="A42" s="139"/>
      <x:c r="B42" s="0" t="s">
        <x:v>46</x:v>
      </x:c>
      <x:c r="C42" s="140">
        <x:v>22</x:v>
      </x:c>
      <x:c r="D42" s="141"/>
      <x:c r="E42" s="140">
        <x:f>C42*A42</x:f>
      </x:c>
      <x:c r="F42" s="141"/>
      <x:c r="G42" s="140">
        <x:f>C42*0.23*3*A42</x:f>
      </x:c>
      <x:c r="H42" s="141"/>
    </x:row>
    <x:row r="43" spans="1:20" x14ac:dyDescent="0.25">
      <x:c r="A43" s="139"/>
      <x:c r="B43" s="0" t="s">
        <x:v>47</x:v>
      </x:c>
      <x:c r="C43" s="140">
        <x:v>36</x:v>
      </x:c>
      <x:c r="D43" s="141"/>
      <x:c r="E43" s="140">
        <x:f>C43*A43</x:f>
      </x:c>
      <x:c r="F43" s="141"/>
      <x:c r="G43" s="140">
        <x:f>C43*0.23*3*A43</x:f>
      </x:c>
      <x:c r="H43" s="141"/>
    </x:row>
    <x:row r="45" spans="1:20" ht="15.75" customHeight="1" x14ac:dyDescent="0.25">
      <x:c r="B45" s="7" t="s">
        <x:v>48</x:v>
      </x:c>
      <x:c r="C45" s="143">
        <x:f>SUM(E5:E43)</x:f>
      </x:c>
    </x:row>
    <x:row r="46" spans="1:20" ht="15.75" customHeight="1" x14ac:dyDescent="0.25">
      <x:c r="B46" s="7" t="s">
        <x:v>49</x:v>
      </x:c>
      <x:c r="C46" s="143">
        <x:f>SUM(F5:F43)</x:f>
      </x:c>
    </x:row>
    <x:row r="47" spans="1:20" ht="15.75" customHeight="1" x14ac:dyDescent="0.25">
      <x:c r="B47" s="7" t="s">
        <x:v>50</x:v>
      </x:c>
      <x:c r="C47" s="144">
        <x:f>SUM(G5:G43)</x:f>
      </x:c>
      <x:c r="D47" s="61"/>
      <x:c r="E47" s="61"/>
      <x:c r="F47" s="61"/>
      <x:c r="I47" s="12"/>
    </x:row>
    <x:row r="48" spans="1:20" ht="15.75" customHeight="1" x14ac:dyDescent="0.25">
      <x:c r="B48" s="7" t="s">
        <x:v>51</x:v>
      </x:c>
      <x:c r="C48" s="144">
        <x:f>SUM(H5:H43)</x:f>
      </x:c>
      <x:c r="D48" s="12"/>
      <x:c r="E48" s="12"/>
      <x:c r="F48" s="12"/>
      <x:c r="G48" s="12"/>
      <x:c r="H48" s="12"/>
      <x:c r="I48" s="12"/>
    </x:row>
    <x:row r="49" spans="1:20" ht="15.75" customHeight="1" x14ac:dyDescent="0.25">
      <x:c r="B49" s="7" t="s">
        <x:v>52</x:v>
      </x:c>
      <x:c r="C49" s="143">
        <x:f>MAX(C47:C48)/630</x:f>
      </x:c>
      <x:c r="D49" s="10"/>
      <x:c r="E49" s="10"/>
      <x:c r="F49" s="10"/>
      <x:c r="G49" s="10"/>
      <x:c r="H49" s="10"/>
    </x:row>
    <x:row r="50" spans="1:20" ht="15.75" customHeight="1" x14ac:dyDescent="0.25">
      <x:c r="B50" s="7"/>
      <x:c r="C50" s="63"/>
    </x:row>
  </x:sheetData>
  <x:mergeCells count="1">
    <x:mergeCell ref="A1:G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944FF7-1C1E-413C-8B1D-00626D003F7E}" mc:Ignorable="x14ac xr xr2 xr3">
  <x:sheetPr>
    <x:outlinePr summaryBelow="1" summaryRight="1"/>
  </x:sheetPr>
  <x:dimension ref="A1:Q35"/>
  <x:sheetViews>
    <x:sheetView topLeftCell="A24" zoomScale="90" zoomScaleNormal="90" workbookViewId="0">
      <x:selection activeCell="B63" sqref="B63"/>
    </x:sheetView>
  </x:sheetViews>
  <x:sheetFormatPr defaultRowHeight="15" x14ac:dyDescent="0.25"/>
  <x:cols>
    <x:col min="1" max="1" width="8.285156" style="9" bestFit="1" customWidth="1"/>
    <x:col min="2" max="2" width="82.425781" style="0" customWidth="1"/>
    <x:col min="3" max="3" width="12.285156" style="3" bestFit="1" customWidth="1"/>
    <x:col min="4" max="4" width="11.710938" style="3" customWidth="1"/>
    <x:col min="5" max="5" width="10.855469" style="3" customWidth="1"/>
    <x:col min="6" max="6" width="3.285156" style="0" customWidth="1"/>
    <x:col min="7" max="7" width="9.140625" style="0" customWidth="1"/>
    <x:col min="8" max="8" width="12.570312" style="0" customWidth="1"/>
    <x:col min="9" max="9" width="9.140625" style="0" customWidth="1"/>
    <x:col min="10" max="10" width="10" style="0" customWidth="1"/>
    <x:col min="11" max="16" width="9.140625" style="0" customWidth="1"/>
    <x:col min="17" max="17" width="21.285156" style="0" customWidth="1"/>
  </x:cols>
  <x:sheetData>
    <x:row r="1" spans="1:17" ht="18.75" customHeight="1" x14ac:dyDescent="0.3">
      <x:c r="A1" s="60" t="s">
        <x:v>59</x:v>
      </x:c>
      <x:c r="B1" s="60"/>
      <x:c r="C1" s="60"/>
      <x:c r="D1" s="60"/>
      <x:c r="E1" s="60"/>
    </x:row>
    <x:row r="2" spans="1:17" ht="54.6" customHeight="1" s="6" customFormat="1" x14ac:dyDescent="0.25">
      <x:c r="A2" s="8" t="s">
        <x:v>9</x:v>
      </x:c>
      <x:c r="B2" s="5" t="s">
        <x:v>10</x:v>
      </x:c>
      <x:c r="C2" s="5" t="s">
        <x:v>60</x:v>
      </x:c>
      <x:c r="D2" s="8" t="s">
        <x:v>61</x:v>
      </x:c>
      <x:c r="E2" s="8" t="s">
        <x:v>62</x:v>
      </x:c>
    </x:row>
    <x:row r="4" spans="1:17" x14ac:dyDescent="0.25">
      <x:c r="A4" s="137"/>
      <x:c r="B4" s="2" t="s">
        <x:v>26</x:v>
      </x:c>
      <x:c r="C4" s="4"/>
      <x:c r="D4" s="4"/>
      <x:c r="E4" s="4"/>
      <x:c r="H4" s="12" t="s">
        <x:v>18</x:v>
      </x:c>
      <x:c r="I4" s="138"/>
      <x:c r="J4" s="12" t="s">
        <x:v>19</x:v>
      </x:c>
    </x:row>
    <x:row r="5" spans="1:17" x14ac:dyDescent="0.25">
      <x:c r="A5" s="139"/>
      <x:c r="B5" s="0" t="s">
        <x:v>63</x:v>
      </x:c>
      <x:c r="C5" s="140">
        <x:v>1.7</x:v>
      </x:c>
      <x:c r="D5" s="140">
        <x:f>C5*A5</x:f>
      </x:c>
      <x:c r="E5" s="140">
        <x:f>C5*0.23*3*A5</x:f>
      </x:c>
      <x:c r="Q5" s="1"/>
    </x:row>
    <x:row r="6" spans="1:17" x14ac:dyDescent="0.25">
      <x:c r="A6" s="137"/>
      <x:c r="C6" s="4"/>
      <x:c r="D6" s="4"/>
      <x:c r="E6" s="4"/>
      <x:c r="Q6" s="1"/>
    </x:row>
    <x:row r="7" spans="1:17" x14ac:dyDescent="0.25">
      <x:c r="A7" s="137"/>
      <x:c r="B7" s="2" t="s">
        <x:v>29</x:v>
      </x:c>
      <x:c r="C7" s="4"/>
      <x:c r="D7" s="4"/>
      <x:c r="E7" s="4"/>
      <x:c r="Q7" s="1"/>
    </x:row>
    <x:row r="8" spans="1:17" x14ac:dyDescent="0.25">
      <x:c r="A8" s="139"/>
      <x:c r="B8" s="0" t="s">
        <x:v>63</x:v>
      </x:c>
      <x:c r="C8" s="140">
        <x:v>4.3</x:v>
      </x:c>
      <x:c r="D8" s="140">
        <x:f>C8*A8</x:f>
      </x:c>
      <x:c r="E8" s="140">
        <x:f>C8*0.23*3*A8</x:f>
      </x:c>
      <x:c r="Q8" s="1"/>
    </x:row>
    <x:row r="9" spans="1:17" x14ac:dyDescent="0.25">
      <x:c r="A9" s="137"/>
      <x:c r="B9" s="2"/>
      <x:c r="C9" s="4"/>
      <x:c r="D9" s="4"/>
      <x:c r="E9" s="4"/>
    </x:row>
    <x:row r="10" spans="1:17" x14ac:dyDescent="0.25">
      <x:c r="A10" s="137"/>
      <x:c r="B10" s="2" t="s">
        <x:v>30</x:v>
      </x:c>
      <x:c r="C10" s="4"/>
      <x:c r="D10" s="4"/>
      <x:c r="E10" s="4"/>
    </x:row>
    <x:row r="11" spans="1:17" x14ac:dyDescent="0.25">
      <x:c r="A11" s="137"/>
      <x:c r="B11" s="0" t="s">
        <x:v>31</x:v>
      </x:c>
      <x:c r="C11" s="141"/>
      <x:c r="D11" s="140">
        <x:f>E11*1000/(3*230)</x:f>
      </x:c>
      <x:c r="E11" s="142"/>
    </x:row>
    <x:row r="12" spans="1:17" x14ac:dyDescent="0.25">
      <x:c r="A12" s="137"/>
      <x:c r="C12" s="4"/>
      <x:c r="D12" s="4"/>
      <x:c r="E12" s="4"/>
    </x:row>
    <x:row r="13" spans="1:17" x14ac:dyDescent="0.25">
      <x:c r="A13" s="137"/>
      <x:c r="B13" s="2" t="s">
        <x:v>32</x:v>
      </x:c>
      <x:c r="C13" s="4"/>
      <x:c r="D13" s="4"/>
      <x:c r="E13" s="4"/>
    </x:row>
    <x:row r="14" spans="1:17" x14ac:dyDescent="0.25">
      <x:c r="A14" s="139"/>
      <x:c r="B14" s="0" t="s">
        <x:v>64</x:v>
      </x:c>
      <x:c r="C14" s="140">
        <x:v>8.7</x:v>
      </x:c>
      <x:c r="D14" s="140">
        <x:f>C14*A14</x:f>
      </x:c>
      <x:c r="E14" s="140">
        <x:f>C14*0.23*3*A14</x:f>
      </x:c>
    </x:row>
    <x:row r="15" spans="1:17" x14ac:dyDescent="0.25">
      <x:c r="A15" s="139"/>
      <x:c r="B15" s="0" t="s">
        <x:v>34</x:v>
      </x:c>
      <x:c r="C15" s="140">
        <x:v>32</x:v>
      </x:c>
      <x:c r="D15" s="140">
        <x:f>C15*A15</x:f>
      </x:c>
      <x:c r="E15" s="140">
        <x:f>C15*0.23*3*A15</x:f>
      </x:c>
    </x:row>
    <x:row r="16" spans="1:17" x14ac:dyDescent="0.25">
      <x:c r="A16" s="139"/>
      <x:c r="B16" s="0" t="s">
        <x:v>35</x:v>
      </x:c>
      <x:c r="C16" s="140">
        <x:v>44</x:v>
      </x:c>
      <x:c r="D16" s="140">
        <x:f>C16*A16</x:f>
      </x:c>
      <x:c r="E16" s="140">
        <x:f>C16*0.23*3*A16</x:f>
      </x:c>
    </x:row>
    <x:row r="17" spans="1:17" x14ac:dyDescent="0.25">
      <x:c r="A17" s="139"/>
      <x:c r="B17" s="0" t="s">
        <x:v>36</x:v>
      </x:c>
      <x:c r="C17" s="140">
        <x:v>65</x:v>
      </x:c>
      <x:c r="D17" s="140">
        <x:f>C17*A17</x:f>
      </x:c>
      <x:c r="E17" s="140">
        <x:f>C17*0.23*3*A17</x:f>
      </x:c>
    </x:row>
    <x:row r="20" spans="1:17" ht="15.75" customHeight="1" x14ac:dyDescent="0.25">
      <x:c r="B20" s="7" t="s">
        <x:v>65</x:v>
      </x:c>
      <x:c r="C20" s="143">
        <x:f>SUM(D5:D17)</x:f>
      </x:c>
    </x:row>
    <x:row r="21" spans="1:17" ht="15.75" customHeight="1" x14ac:dyDescent="0.25">
      <x:c r="B21" s="7"/>
      <x:c r="C21" s="64"/>
    </x:row>
    <x:row r="23" spans="1:17" ht="22.5" customHeight="1" x14ac:dyDescent="0.25">
      <x:c r="B23" s="19" t="s">
        <x:v>66</x:v>
      </x:c>
    </x:row>
    <x:row r="24" spans="1:17" x14ac:dyDescent="0.25">
      <x:c r="B24" s="127"/>
    </x:row>
    <x:row r="30" spans="1:17" ht="46.5" customHeight="1" x14ac:dyDescent="0.25">
      <x:c r="B30" s="20" t="s">
        <x:v>67</x:v>
      </x:c>
    </x:row>
    <x:row r="31" spans="1:17" x14ac:dyDescent="0.25">
      <x:c r="H31" s="0" t="s">
        <x:v>37</x:v>
      </x:c>
    </x:row>
    <x:row r="32" spans="1:17" x14ac:dyDescent="0.25"/>
  </x:sheetData>
  <x:mergeCells count="2">
    <x:mergeCell ref="A1:E1"/>
    <x:mergeCell ref="B24:B29"/>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9211925-E94E-41F0-80A1-141C71FC5598}" mc:Ignorable="x14ac xr xr2 xr3">
  <x:sheetPr>
    <x:outlinePr summaryBelow="1" summaryRight="1"/>
  </x:sheetPr>
  <x:dimension ref="B1:J33"/>
  <x:sheetViews>
    <x:sheetView workbookViewId="0">
      <x:selection activeCell="N8" sqref="N8"/>
    </x:sheetView>
  </x:sheetViews>
  <x:sheetFormatPr defaultRowHeight="15" x14ac:dyDescent="0.25"/>
  <x:cols>
    <x:col min="1" max="1" width="3.285156" style="0" customWidth="1"/>
    <x:col min="2" max="2" width="25.140625" style="27" bestFit="1" customWidth="1"/>
    <x:col min="3" max="3" width="15.570312" style="27" customWidth="1"/>
    <x:col min="4" max="4" width="16" style="27" customWidth="1"/>
    <x:col min="5" max="5" width="25.140625" style="27" customWidth="1"/>
    <x:col min="6" max="6" width="24.570312" style="27" customWidth="1"/>
    <x:col min="7" max="8" width="7.855469" style="27" customWidth="1"/>
    <x:col min="9" max="9" width="9.140625" style="27" customWidth="1"/>
  </x:cols>
  <x:sheetData>
    <x:row r="1" spans="1:10" ht="15.75" customHeight="1" x14ac:dyDescent="0.3"/>
    <x:row r="2" spans="1:10" ht="16.5" customHeight="1" x14ac:dyDescent="0.3">
      <x:c r="B2" s="132" t="s">
        <x:v>125</x:v>
      </x:c>
      <x:c r="C2" s="133"/>
      <x:c r="D2" s="133"/>
      <x:c r="E2" s="133"/>
      <x:c r="F2" s="133"/>
      <x:c r="G2" s="133"/>
      <x:c r="H2" s="133"/>
      <x:c r="I2" s="134"/>
    </x:row>
    <x:row r="3" spans="1:10" ht="15.75" customHeight="1" s="12" customFormat="1" x14ac:dyDescent="0.3">
      <x:c r="B3" s="89" t="s">
        <x:v>126</x:v>
      </x:c>
      <x:c r="C3" s="90" t="s">
        <x:v>127</x:v>
      </x:c>
      <x:c r="D3" s="90" t="s">
        <x:v>128</x:v>
      </x:c>
      <x:c r="E3" s="90" t="s">
        <x:v>129</x:v>
      </x:c>
      <x:c r="F3" s="90" t="s">
        <x:v>130</x:v>
      </x:c>
      <x:c r="G3" s="90" t="s">
        <x:v>131</x:v>
      </x:c>
      <x:c r="H3" s="90" t="s">
        <x:v>132</x:v>
      </x:c>
      <x:c r="I3" s="91" t="s">
        <x:v>133</x:v>
      </x:c>
    </x:row>
    <x:row r="4" spans="1:10" x14ac:dyDescent="0.25">
      <x:c r="B4" s="93" t="s">
        <x:v>134</x:v>
      </x:c>
      <x:c r="C4" s="94">
        <x:v>10</x:v>
      </x:c>
      <x:c r="D4" s="94">
        <x:v>1750</x:v>
      </x:c>
      <x:c r="E4" s="95">
        <x:v>5.15</x:v>
      </x:c>
      <x:c r="F4" s="95">
        <x:v>3.47</x:v>
      </x:c>
      <x:c r="G4" s="94">
        <x:v>75</x:v>
      </x:c>
      <x:c r="H4" s="94">
        <x:v>48</x:v>
      </x:c>
      <x:c r="I4" s="96" t="s">
        <x:v>135</x:v>
      </x:c>
    </x:row>
    <x:row r="5" spans="1:10" x14ac:dyDescent="0.25">
      <x:c r="B5" s="97" t="s">
        <x:v>136</x:v>
      </x:c>
      <x:c r="C5" s="85">
        <x:v>10</x:v>
      </x:c>
      <x:c r="D5" s="85">
        <x:v>2750</x:v>
      </x:c>
      <x:c r="E5" s="86">
        <x:v>5.1</x:v>
      </x:c>
      <x:c r="F5" s="86">
        <x:v>3.43</x:v>
      </x:c>
      <x:c r="G5" s="85">
        <x:v>75</x:v>
      </x:c>
      <x:c r="H5" s="85">
        <x:v>49</x:v>
      </x:c>
      <x:c r="I5" s="98" t="s">
        <x:v>135</x:v>
      </x:c>
      <x:c r="J5" s="92"/>
    </x:row>
    <x:row r="6" spans="1:10" x14ac:dyDescent="0.25">
      <x:c r="B6" s="97" t="s">
        <x:v>137</x:v>
      </x:c>
      <x:c r="C6" s="85">
        <x:v>10</x:v>
      </x:c>
      <x:c r="D6" s="85">
        <x:v>2120</x:v>
      </x:c>
      <x:c r="E6" s="86">
        <x:v>5.1</x:v>
      </x:c>
      <x:c r="F6" s="86">
        <x:v>2.55</x:v>
      </x:c>
      <x:c r="G6" s="85">
        <x:v>116</x:v>
      </x:c>
      <x:c r="H6" s="85">
        <x:v>49</x:v>
      </x:c>
      <x:c r="I6" s="98" t="s">
        <x:v>135</x:v>
      </x:c>
    </x:row>
    <x:row r="7" spans="1:10" x14ac:dyDescent="0.25">
      <x:c r="B7" s="97" t="s">
        <x:v>138</x:v>
      </x:c>
      <x:c r="C7" s="85">
        <x:v>10</x:v>
      </x:c>
      <x:c r="D7" s="85">
        <x:v>1030</x:v>
      </x:c>
      <x:c r="E7" s="86">
        <x:v>5.1</x:v>
      </x:c>
      <x:c r="F7" s="86">
        <x:v>3.43</x:v>
      </x:c>
      <x:c r="G7" s="85">
        <x:v>75</x:v>
      </x:c>
      <x:c r="H7" s="85">
        <x:v>49</x:v>
      </x:c>
      <x:c r="I7" s="98" t="s">
        <x:v>135</x:v>
      </x:c>
    </x:row>
    <x:row r="8" spans="1:10" x14ac:dyDescent="0.25">
      <x:c r="B8" s="97" t="s">
        <x:v>139</x:v>
      </x:c>
      <x:c r="C8" s="85">
        <x:v>10</x:v>
      </x:c>
      <x:c r="D8" s="85">
        <x:v>760</x:v>
      </x:c>
      <x:c r="E8" s="86">
        <x:v>5.07</x:v>
      </x:c>
      <x:c r="F8" s="86">
        <x:v>2.53</x:v>
      </x:c>
      <x:c r="G8" s="85">
        <x:v>116</x:v>
      </x:c>
      <x:c r="H8" s="85">
        <x:v>48</x:v>
      </x:c>
      <x:c r="I8" s="98" t="s">
        <x:v>135</x:v>
      </x:c>
    </x:row>
    <x:row r="9" spans="1:10" x14ac:dyDescent="0.25">
      <x:c r="B9" s="97" t="s">
        <x:v>140</x:v>
      </x:c>
      <x:c r="C9" s="85">
        <x:v>10</x:v>
      </x:c>
      <x:c r="D9" s="85">
        <x:v>1270</x:v>
      </x:c>
      <x:c r="E9" s="86">
        <x:v>5.03</x:v>
      </x:c>
      <x:c r="F9" s="86">
        <x:v>2.52</x:v>
      </x:c>
      <x:c r="G9" s="85">
        <x:v>116</x:v>
      </x:c>
      <x:c r="H9" s="85">
        <x:v>49</x:v>
      </x:c>
      <x:c r="I9" s="98" t="s">
        <x:v>141</x:v>
      </x:c>
    </x:row>
    <x:row r="10" spans="1:10" x14ac:dyDescent="0.25">
      <x:c r="B10" s="97" t="s">
        <x:v>142</x:v>
      </x:c>
      <x:c r="C10" s="85">
        <x:v>10</x:v>
      </x:c>
      <x:c r="D10" s="85">
        <x:v>310</x:v>
      </x:c>
      <x:c r="E10" s="86">
        <x:v>5</x:v>
      </x:c>
      <x:c r="F10" s="86">
        <x:v>2.5</x:v>
      </x:c>
      <x:c r="G10" s="85">
        <x:v>116</x:v>
      </x:c>
      <x:c r="H10" s="85">
        <x:v>49</x:v>
      </x:c>
      <x:c r="I10" s="98" t="s">
        <x:v>135</x:v>
      </x:c>
    </x:row>
    <x:row r="11" spans="1:10" x14ac:dyDescent="0.25">
      <x:c r="B11" s="97" t="s">
        <x:v>134</x:v>
      </x:c>
      <x:c r="C11" s="85">
        <x:v>16</x:v>
      </x:c>
      <x:c r="D11" s="85">
        <x:v>1270</x:v>
      </x:c>
      <x:c r="E11" s="86">
        <x:v>3.74</x:v>
      </x:c>
      <x:c r="F11" s="86">
        <x:v>2.52</x:v>
      </x:c>
      <x:c r="G11" s="85">
        <x:v>75</x:v>
      </x:c>
      <x:c r="H11" s="85">
        <x:v>66</x:v>
      </x:c>
      <x:c r="I11" s="98" t="s">
        <x:v>135</x:v>
      </x:c>
    </x:row>
    <x:row r="12" spans="1:10" x14ac:dyDescent="0.25">
      <x:c r="B12" s="97" t="s">
        <x:v>137</x:v>
      </x:c>
      <x:c r="C12" s="85">
        <x:v>16</x:v>
      </x:c>
      <x:c r="D12" s="85">
        <x:v>1550</x:v>
      </x:c>
      <x:c r="E12" s="86">
        <x:v>3.73</x:v>
      </x:c>
      <x:c r="F12" s="86">
        <x:v>1.87</x:v>
      </x:c>
      <x:c r="G12" s="85">
        <x:v>116</x:v>
      </x:c>
      <x:c r="H12" s="85">
        <x:v>66</x:v>
      </x:c>
      <x:c r="I12" s="98" t="s">
        <x:v>135</x:v>
      </x:c>
    </x:row>
    <x:row r="13" spans="1:10" x14ac:dyDescent="0.25">
      <x:c r="B13" s="97" t="s">
        <x:v>138</x:v>
      </x:c>
      <x:c r="C13" s="85">
        <x:v>16</x:v>
      </x:c>
      <x:c r="D13" s="85">
        <x:v>750</x:v>
      </x:c>
      <x:c r="E13" s="86">
        <x:v>3.72</x:v>
      </x:c>
      <x:c r="F13" s="86">
        <x:v>2.5</x:v>
      </x:c>
      <x:c r="G13" s="85">
        <x:v>75</x:v>
      </x:c>
      <x:c r="H13" s="85">
        <x:v>67</x:v>
      </x:c>
      <x:c r="I13" s="98" t="s">
        <x:v>135</x:v>
      </x:c>
    </x:row>
    <x:row r="14" spans="1:10" x14ac:dyDescent="0.25">
      <x:c r="B14" s="97" t="s">
        <x:v>136</x:v>
      </x:c>
      <x:c r="C14" s="85">
        <x:v>16</x:v>
      </x:c>
      <x:c r="D14" s="85">
        <x:v>2000</x:v>
      </x:c>
      <x:c r="E14" s="86">
        <x:v>3.71</x:v>
      </x:c>
      <x:c r="F14" s="86">
        <x:v>2.5</x:v>
      </x:c>
      <x:c r="G14" s="85">
        <x:v>75</x:v>
      </x:c>
      <x:c r="H14" s="85">
        <x:v>67</x:v>
      </x:c>
      <x:c r="I14" s="98" t="s">
        <x:v>143</x:v>
      </x:c>
    </x:row>
    <x:row r="15" spans="1:10" x14ac:dyDescent="0.25">
      <x:c r="B15" s="97" t="s">
        <x:v>139</x:v>
      </x:c>
      <x:c r="C15" s="85">
        <x:v>16</x:v>
      </x:c>
      <x:c r="D15" s="85">
        <x:v>550</x:v>
      </x:c>
      <x:c r="E15" s="86">
        <x:v>3.67</x:v>
      </x:c>
      <x:c r="F15" s="86">
        <x:v>1.83</x:v>
      </x:c>
      <x:c r="G15" s="85">
        <x:v>117</x:v>
      </x:c>
      <x:c r="H15" s="85">
        <x:v>67</x:v>
      </x:c>
      <x:c r="I15" s="98" t="s">
        <x:v>144</x:v>
      </x:c>
    </x:row>
    <x:row r="16" spans="1:10" x14ac:dyDescent="0.25">
      <x:c r="B16" s="97" t="s">
        <x:v>140</x:v>
      </x:c>
      <x:c r="C16" s="85">
        <x:v>16</x:v>
      </x:c>
      <x:c r="D16" s="85">
        <x:v>920</x:v>
      </x:c>
      <x:c r="E16" s="86">
        <x:v>3.65</x:v>
      </x:c>
      <x:c r="F16" s="86">
        <x:v>1.82</x:v>
      </x:c>
      <x:c r="G16" s="85">
        <x:v>117</x:v>
      </x:c>
      <x:c r="H16" s="85">
        <x:v>67</x:v>
      </x:c>
      <x:c r="I16" s="98" t="s">
        <x:v>135</x:v>
      </x:c>
    </x:row>
    <x:row r="17" spans="1:10" x14ac:dyDescent="0.25">
      <x:c r="B17" s="97" t="s">
        <x:v>136</x:v>
      </x:c>
      <x:c r="C17" s="85">
        <x:v>20</x:v>
      </x:c>
      <x:c r="D17" s="85">
        <x:v>1530</x:v>
      </x:c>
      <x:c r="E17" s="85">
        <x:v>2.84</x:v>
      </x:c>
      <x:c r="F17" s="87">
        <x:v>1.91</x:v>
      </x:c>
      <x:c r="G17" s="85">
        <x:v>75</x:v>
      </x:c>
      <x:c r="H17" s="85">
        <x:v>88</x:v>
      </x:c>
      <x:c r="I17" s="98" t="s">
        <x:v>135</x:v>
      </x:c>
    </x:row>
    <x:row r="18" spans="1:10" x14ac:dyDescent="0.25">
      <x:c r="B18" s="97" t="s">
        <x:v>134</x:v>
      </x:c>
      <x:c r="C18" s="85">
        <x:v>20</x:v>
      </x:c>
      <x:c r="D18" s="85">
        <x:v>960</x:v>
      </x:c>
      <x:c r="E18" s="86">
        <x:v>2.83</x:v>
      </x:c>
      <x:c r="F18" s="86">
        <x:v>1.9</x:v>
      </x:c>
      <x:c r="G18" s="85">
        <x:v>75</x:v>
      </x:c>
      <x:c r="H18" s="85">
        <x:v>88</x:v>
      </x:c>
      <x:c r="I18" s="98" t="s">
        <x:v>135</x:v>
      </x:c>
    </x:row>
    <x:row r="19" spans="1:10" x14ac:dyDescent="0.25">
      <x:c r="B19" s="97" t="s">
        <x:v>138</x:v>
      </x:c>
      <x:c r="C19" s="85">
        <x:v>20</x:v>
      </x:c>
      <x:c r="D19" s="85">
        <x:v>570</x:v>
      </x:c>
      <x:c r="E19" s="86">
        <x:v>2.83</x:v>
      </x:c>
      <x:c r="F19" s="86">
        <x:v>1.9</x:v>
      </x:c>
      <x:c r="G19" s="85">
        <x:v>75</x:v>
      </x:c>
      <x:c r="H19" s="85">
        <x:v>88</x:v>
      </x:c>
      <x:c r="I19" s="98" t="s">
        <x:v>135</x:v>
      </x:c>
    </x:row>
    <x:row r="20" spans="1:10" x14ac:dyDescent="0.25">
      <x:c r="B20" s="97" t="s">
        <x:v>137</x:v>
      </x:c>
      <x:c r="C20" s="85">
        <x:v>20</x:v>
      </x:c>
      <x:c r="D20" s="85">
        <x:v>1170</x:v>
      </x:c>
      <x:c r="E20" s="86">
        <x:v>2.82</x:v>
      </x:c>
      <x:c r="F20" s="86">
        <x:v>1.41</x:v>
      </x:c>
      <x:c r="G20" s="85">
        <x:v>116</x:v>
      </x:c>
      <x:c r="H20" s="85">
        <x:v>87</x:v>
      </x:c>
      <x:c r="I20" s="98" t="s">
        <x:v>135</x:v>
      </x:c>
    </x:row>
    <x:row r="21" spans="1:10" x14ac:dyDescent="0.25">
      <x:c r="B21" s="97" t="s">
        <x:v>140</x:v>
      </x:c>
      <x:c r="C21" s="85">
        <x:v>20</x:v>
      </x:c>
      <x:c r="D21" s="85">
        <x:v>700</x:v>
      </x:c>
      <x:c r="E21" s="86">
        <x:v>2.78</x:v>
      </x:c>
      <x:c r="F21" s="86">
        <x:v>1.39</x:v>
      </x:c>
      <x:c r="G21" s="85">
        <x:v>117</x:v>
      </x:c>
      <x:c r="H21" s="85">
        <x:v>87</x:v>
      </x:c>
      <x:c r="I21" s="98" t="s">
        <x:v>135</x:v>
      </x:c>
    </x:row>
    <x:row r="22" spans="1:10" x14ac:dyDescent="0.25">
      <x:c r="B22" s="97" t="s">
        <x:v>139</x:v>
      </x:c>
      <x:c r="C22" s="85">
        <x:v>20</x:v>
      </x:c>
      <x:c r="D22" s="85">
        <x:v>410</x:v>
      </x:c>
      <x:c r="E22" s="86">
        <x:v>2.74</x:v>
      </x:c>
      <x:c r="F22" s="86">
        <x:v>1.37</x:v>
      </x:c>
      <x:c r="G22" s="85">
        <x:v>117</x:v>
      </x:c>
      <x:c r="H22" s="85">
        <x:v>89</x:v>
      </x:c>
      <x:c r="I22" s="98" t="s">
        <x:v>141</x:v>
      </x:c>
    </x:row>
    <x:row r="23" spans="1:10" x14ac:dyDescent="0.25">
      <x:c r="B23" s="97" t="s">
        <x:v>136</x:v>
      </x:c>
      <x:c r="C23" s="85">
        <x:v>25</x:v>
      </x:c>
      <x:c r="D23" s="85">
        <x:v>1210</x:v>
      </x:c>
      <x:c r="E23" s="85">
        <x:v>2.25</x:v>
      </x:c>
      <x:c r="F23" s="85">
        <x:v>1.51</x:v>
      </x:c>
      <x:c r="G23" s="85">
        <x:v>75</x:v>
      </x:c>
      <x:c r="H23" s="85">
        <x:v>111</x:v>
      </x:c>
      <x:c r="I23" s="98" t="s">
        <x:v>135</x:v>
      </x:c>
    </x:row>
    <x:row r="24" spans="1:10" x14ac:dyDescent="0.25">
      <x:c r="B24" s="97" t="s">
        <x:v>134</x:v>
      </x:c>
      <x:c r="C24" s="85">
        <x:v>25</x:v>
      </x:c>
      <x:c r="D24" s="85">
        <x:v>760</x:v>
      </x:c>
      <x:c r="E24" s="86">
        <x:v>2.24</x:v>
      </x:c>
      <x:c r="F24" s="86">
        <x:v>1.51</x:v>
      </x:c>
      <x:c r="G24" s="85">
        <x:v>75</x:v>
      </x:c>
      <x:c r="H24" s="85">
        <x:v>111</x:v>
      </x:c>
      <x:c r="I24" s="98" t="s">
        <x:v>135</x:v>
      </x:c>
    </x:row>
    <x:row r="25" spans="1:10" x14ac:dyDescent="0.25">
      <x:c r="B25" s="97" t="s">
        <x:v>138</x:v>
      </x:c>
      <x:c r="C25" s="85">
        <x:v>25</x:v>
      </x:c>
      <x:c r="D25" s="85">
        <x:v>450</x:v>
      </x:c>
      <x:c r="E25" s="86">
        <x:v>2.24</x:v>
      </x:c>
      <x:c r="F25" s="86">
        <x:v>1.5</x:v>
      </x:c>
      <x:c r="G25" s="85">
        <x:v>76</x:v>
      </x:c>
      <x:c r="H25" s="85">
        <x:v>111</x:v>
      </x:c>
      <x:c r="I25" s="98" t="s">
        <x:v>135</x:v>
      </x:c>
    </x:row>
    <x:row r="26" spans="1:10" x14ac:dyDescent="0.25">
      <x:c r="B26" s="97" t="s">
        <x:v>137</x:v>
      </x:c>
      <x:c r="C26" s="85">
        <x:v>25</x:v>
      </x:c>
      <x:c r="D26" s="85">
        <x:v>920</x:v>
      </x:c>
      <x:c r="E26" s="86">
        <x:v>2.22</x:v>
      </x:c>
      <x:c r="F26" s="86">
        <x:v>1.11</x:v>
      </x:c>
      <x:c r="G26" s="85">
        <x:v>116</x:v>
      </x:c>
      <x:c r="H26" s="85">
        <x:v>111</x:v>
      </x:c>
      <x:c r="I26" s="98" t="s">
        <x:v>135</x:v>
      </x:c>
    </x:row>
    <x:row r="27" spans="1:10" x14ac:dyDescent="0.25">
      <x:c r="B27" s="97" t="s">
        <x:v>140</x:v>
      </x:c>
      <x:c r="C27" s="85">
        <x:v>25</x:v>
      </x:c>
      <x:c r="D27" s="85">
        <x:v>550</x:v>
      </x:c>
      <x:c r="E27" s="86">
        <x:v>2.18</x:v>
      </x:c>
      <x:c r="F27" s="86">
        <x:v>1.09</x:v>
      </x:c>
      <x:c r="G27" s="85">
        <x:v>118</x:v>
      </x:c>
      <x:c r="H27" s="85">
        <x:v>111</x:v>
      </x:c>
      <x:c r="I27" s="98" t="s">
        <x:v>135</x:v>
      </x:c>
    </x:row>
    <x:row r="28" spans="1:10" ht="15.75" customHeight="1" x14ac:dyDescent="0.3">
      <x:c r="B28" s="99" t="s">
        <x:v>139</x:v>
      </x:c>
      <x:c r="C28" s="100">
        <x:v>25</x:v>
      </x:c>
      <x:c r="D28" s="100">
        <x:v>325</x:v>
      </x:c>
      <x:c r="E28" s="101">
        <x:v>2.17</x:v>
      </x:c>
      <x:c r="F28" s="101">
        <x:v>1.09</x:v>
      </x:c>
      <x:c r="G28" s="100">
        <x:v>118</x:v>
      </x:c>
      <x:c r="H28" s="100">
        <x:v>111</x:v>
      </x:c>
      <x:c r="I28" s="102" t="s">
        <x:v>141</x:v>
      </x:c>
    </x:row>
    <x:row r="33" spans="1:10" x14ac:dyDescent="0.25">
      <x:c r="E33" s="88"/>
      <x:c r="F33" s="88"/>
    </x:row>
  </x:sheetData>
  <x:mergeCells count="1">
    <x:mergeCell ref="B2:I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45"/>
  <x:sheetViews>
    <x:sheetView topLeftCell="A7" workbookViewId="0">
      <x:selection activeCell="B9" sqref="B9"/>
    </x:sheetView>
  </x:sheetViews>
  <x:sheetFormatPr defaultRowHeight="15"/>
  <x:cols>
    <x:col min="1" max="1" width="8.285156" style="9" customWidth="1"/>
    <x:col min="2" max="2" width="82.425781" style="0" customWidth="1"/>
    <x:col min="3" max="3" width="12.285156" style="3" customWidth="1"/>
    <x:col min="4" max="6" width="11.710938" style="3" customWidth="1"/>
    <x:col min="7" max="8" width="10.855469" style="3" customWidth="1"/>
    <x:col min="9" max="9" width="3.285156" style="0" customWidth="1"/>
    <x:col min="10" max="10" width="9.140625" style="0" customWidth="1"/>
    <x:col min="11" max="11" width="12.425781" style="0" customWidth="1"/>
    <x:col min="12" max="12" width="9.140625" style="0" customWidth="1"/>
    <x:col min="13" max="13" width="10" style="0" customWidth="1"/>
    <x:col min="14" max="19" width="9.140625" style="0" customWidth="1"/>
    <x:col min="20" max="20" width="21.285156" style="0" customWidth="1"/>
  </x:cols>
  <x:sheetData>
    <x:row r="1" spans="1:20" ht="18.75" customHeight="1">
      <x:c r="A1" s="60" t="s">
        <x:v>53</x:v>
      </x:c>
      <x:c r="B1" s="60"/>
      <x:c r="C1" s="60"/>
      <x:c r="D1" s="60"/>
      <x:c r="E1" s="60"/>
      <x:c r="F1" s="60"/>
      <x:c r="G1" s="60"/>
      <x:c r="H1" s="60"/>
    </x:row>
    <x:row r="2" spans="1:20" ht="54.6" customHeight="1" s="6" customFormat="1">
      <x:c r="A2" s="8" t="s">
        <x:v>9</x:v>
      </x:c>
      <x:c r="B2" s="5" t="s">
        <x:v>10</x:v>
      </x:c>
      <x:c r="C2" s="5" t="s">
        <x:v>11</x:v>
      </x:c>
      <x:c r="D2" s="5" t="s">
        <x:v>12</x:v>
      </x:c>
      <x:c r="E2" s="8" t="s">
        <x:v>54</x:v>
      </x:c>
      <x:c r="F2" s="8" t="s">
        <x:v>55</x:v>
      </x:c>
      <x:c r="G2" s="8" t="s">
        <x:v>56</x:v>
      </x:c>
      <x:c r="H2" s="8" t="s">
        <x:v>57</x:v>
      </x:c>
    </x:row>
    <x:row r="4" spans="1:20">
      <x:c r="A4" s="137"/>
      <x:c r="B4" s="2" t="s">
        <x:v>17</x:v>
      </x:c>
      <x:c r="K4" s="12" t="s">
        <x:v>18</x:v>
      </x:c>
      <x:c r="L4" s="138"/>
      <x:c r="M4" s="12" t="s">
        <x:v>19</x:v>
      </x:c>
    </x:row>
    <x:row r="5" spans="1:20">
      <x:c r="A5" s="139">
        <x:v>2</x:v>
      </x:c>
      <x:c r="B5" s="0" t="s">
        <x:v>20</x:v>
      </x:c>
      <x:c r="C5" s="140">
        <x:v>10.3</x:v>
      </x:c>
      <x:c r="D5" s="140">
        <x:v>9.8</x:v>
      </x:c>
      <x:c r="E5" s="140">
        <x:f>C5*A5</x:f>
      </x:c>
      <x:c r="F5" s="140">
        <x:f>D5*A5</x:f>
      </x:c>
      <x:c r="G5" s="140">
        <x:f>C5*0.23*3*A5</x:f>
      </x:c>
      <x:c r="H5" s="140">
        <x:f>D5*0.23*3*A5</x:f>
      </x:c>
      <x:c r="T5" s="1"/>
    </x:row>
    <x:row r="6" spans="1:20">
      <x:c r="A6" s="139"/>
      <x:c r="B6" s="0" t="s">
        <x:v>21</x:v>
      </x:c>
      <x:c r="C6" s="140">
        <x:v>8.8</x:v>
      </x:c>
      <x:c r="D6" s="140">
        <x:v>7.5</x:v>
      </x:c>
      <x:c r="E6" s="140">
        <x:f>C6*A6</x:f>
      </x:c>
      <x:c r="F6" s="140">
        <x:f>D6*A6</x:f>
      </x:c>
      <x:c r="G6" s="140">
        <x:f>C6*0.23*3*A6</x:f>
      </x:c>
      <x:c r="H6" s="140">
        <x:f>D6*0.23*3*A6</x:f>
      </x:c>
      <x:c r="T6" s="1"/>
    </x:row>
    <x:row r="7" spans="1:20">
      <x:c r="A7" s="139"/>
      <x:c r="B7" s="0" t="s">
        <x:v>22</x:v>
      </x:c>
      <x:c r="C7" s="140">
        <x:v>7.8</x:v>
      </x:c>
      <x:c r="D7" s="140">
        <x:v>7.5</x:v>
      </x:c>
      <x:c r="E7" s="140">
        <x:f>C7*A7</x:f>
      </x:c>
      <x:c r="F7" s="140">
        <x:f>D7*A7</x:f>
      </x:c>
      <x:c r="G7" s="140">
        <x:f>C7*0.23*3*A7</x:f>
      </x:c>
      <x:c r="H7" s="140">
        <x:f>D7*0.23*3*A7</x:f>
      </x:c>
      <x:c r="T7" s="1"/>
    </x:row>
    <x:row r="8" spans="1:20">
      <x:c r="A8" s="139"/>
      <x:c r="B8" s="0" t="s">
        <x:v>23</x:v>
      </x:c>
      <x:c r="C8" s="140">
        <x:v>8.4</x:v>
      </x:c>
      <x:c r="D8" s="140">
        <x:v>7.5</x:v>
      </x:c>
      <x:c r="E8" s="140">
        <x:f>C8*A8</x:f>
      </x:c>
      <x:c r="F8" s="140">
        <x:f>D8*A8</x:f>
      </x:c>
      <x:c r="G8" s="140">
        <x:f>C8*0.23*3*A8</x:f>
      </x:c>
      <x:c r="H8" s="140">
        <x:f>D8*0.23*3*A8</x:f>
      </x:c>
      <x:c r="T8" s="1"/>
    </x:row>
    <x:row r="9" spans="1:20">
      <x:c r="A9" s="137"/>
      <x:c r="C9" s="4"/>
      <x:c r="D9" s="4"/>
      <x:c r="E9" s="4"/>
      <x:c r="F9" s="4"/>
      <x:c r="G9" s="4"/>
      <x:c r="H9" s="4"/>
      <x:c r="T9" s="1"/>
    </x:row>
    <x:row r="10" spans="1:20">
      <x:c r="A10" s="137"/>
      <x:c r="B10" s="2" t="s">
        <x:v>24</x:v>
      </x:c>
      <x:c r="C10" s="4"/>
      <x:c r="D10" s="4"/>
      <x:c r="E10" s="4"/>
      <x:c r="F10" s="4"/>
      <x:c r="G10" s="4"/>
      <x:c r="H10" s="4"/>
    </x:row>
    <x:row r="11" spans="1:20">
      <x:c r="A11" s="139"/>
      <x:c r="B11" s="0" t="s">
        <x:v>20</x:v>
      </x:c>
      <x:c r="C11" s="140">
        <x:v>4.1</x:v>
      </x:c>
      <x:c r="D11" s="140">
        <x:v>9.8</x:v>
      </x:c>
      <x:c r="E11" s="140">
        <x:f>C11*A11</x:f>
      </x:c>
      <x:c r="F11" s="140">
        <x:f>D11*A11</x:f>
      </x:c>
      <x:c r="G11" s="140">
        <x:f>C11*0.23*3*A11</x:f>
      </x:c>
      <x:c r="H11" s="140">
        <x:f>D11*0.23*3*A11</x:f>
      </x:c>
    </x:row>
    <x:row r="12" spans="1:20">
      <x:c r="A12" s="139"/>
      <x:c r="B12" s="0" t="s">
        <x:v>25</x:v>
      </x:c>
      <x:c r="C12" s="140">
        <x:v>4.1</x:v>
      </x:c>
      <x:c r="D12" s="140">
        <x:v>7.5</x:v>
      </x:c>
      <x:c r="E12" s="140">
        <x:f>C12*A12</x:f>
      </x:c>
      <x:c r="F12" s="140">
        <x:f>D12*A12</x:f>
      </x:c>
      <x:c r="G12" s="140">
        <x:f>C12*0.23*3*A12</x:f>
      </x:c>
      <x:c r="H12" s="140">
        <x:f>D12*0.23*3*A12</x:f>
      </x:c>
    </x:row>
    <x:row r="13" spans="1:20">
      <x:c r="A13" s="139"/>
      <x:c r="B13" s="0" t="s">
        <x:v>22</x:v>
      </x:c>
      <x:c r="C13" s="140">
        <x:v>4.1</x:v>
      </x:c>
      <x:c r="D13" s="140">
        <x:v>7.5</x:v>
      </x:c>
      <x:c r="E13" s="140">
        <x:f>C13*A13</x:f>
      </x:c>
      <x:c r="F13" s="140">
        <x:f>D13*A13</x:f>
      </x:c>
      <x:c r="G13" s="140">
        <x:f>C13*0.23*3*A13</x:f>
      </x:c>
      <x:c r="H13" s="140">
        <x:f>D13*0.23*3*A13</x:f>
      </x:c>
    </x:row>
    <x:row r="14" spans="1:20">
      <x:c r="A14" s="139"/>
      <x:c r="B14" s="0" t="s">
        <x:v>23</x:v>
      </x:c>
      <x:c r="C14" s="140">
        <x:v>4.1</x:v>
      </x:c>
      <x:c r="D14" s="140">
        <x:v>7.5</x:v>
      </x:c>
      <x:c r="E14" s="140">
        <x:f>C14*A14</x:f>
      </x:c>
      <x:c r="F14" s="140">
        <x:f>D14*A14</x:f>
      </x:c>
      <x:c r="G14" s="140">
        <x:f>C14*0.23*3*A14</x:f>
      </x:c>
      <x:c r="H14" s="140">
        <x:f>D14*0.23*3*A14</x:f>
      </x:c>
    </x:row>
    <x:row r="15" spans="1:20">
      <x:c r="A15" s="137"/>
      <x:c r="C15" s="4"/>
      <x:c r="D15" s="4"/>
      <x:c r="E15" s="4"/>
      <x:c r="F15" s="4"/>
      <x:c r="G15" s="4"/>
      <x:c r="H15" s="4"/>
    </x:row>
    <x:row r="16" spans="1:20">
      <x:c r="A16" s="137"/>
      <x:c r="B16" s="2" t="s">
        <x:v>26</x:v>
      </x:c>
      <x:c r="C16" s="4"/>
      <x:c r="D16" s="4"/>
      <x:c r="E16" s="4"/>
      <x:c r="F16" s="4"/>
      <x:c r="G16" s="4"/>
      <x:c r="H16" s="4"/>
    </x:row>
    <x:row r="17" spans="1:20">
      <x:c r="A17" s="139"/>
      <x:c r="B17" s="0" t="s">
        <x:v>27</x:v>
      </x:c>
      <x:c r="C17" s="140">
        <x:v>3.5</x:v>
      </x:c>
      <x:c r="D17" s="141"/>
      <x:c r="E17" s="140">
        <x:f>C17*A17</x:f>
      </x:c>
      <x:c r="F17" s="141"/>
      <x:c r="G17" s="140">
        <x:f>C17*0.23*3*A17</x:f>
      </x:c>
      <x:c r="H17" s="141"/>
    </x:row>
    <x:row r="18" spans="1:20">
      <x:c r="A18" s="137"/>
      <x:c r="B18" s="0" t="s">
        <x:v>28</x:v>
      </x:c>
      <x:c r="C18" s="141"/>
      <x:c r="D18" s="141"/>
      <x:c r="E18" s="140">
        <x:f>G18*1000/(3*230)</x:f>
      </x:c>
      <x:c r="F18" s="141"/>
      <x:c r="G18" s="142"/>
      <x:c r="H18" s="141"/>
    </x:row>
    <x:row r="19" spans="1:20">
      <x:c r="A19" s="137"/>
      <x:c r="C19" s="4"/>
      <x:c r="D19" s="4"/>
      <x:c r="E19" s="4"/>
      <x:c r="F19" s="4"/>
      <x:c r="G19" s="4"/>
      <x:c r="H19" s="4"/>
    </x:row>
    <x:row r="20" spans="1:20">
      <x:c r="A20" s="137"/>
      <x:c r="B20" s="2" t="s">
        <x:v>29</x:v>
      </x:c>
      <x:c r="C20" s="4"/>
      <x:c r="D20" s="4"/>
      <x:c r="E20" s="4"/>
      <x:c r="F20" s="4"/>
      <x:c r="G20" s="4"/>
      <x:c r="H20" s="4"/>
    </x:row>
    <x:row r="21" spans="1:20">
      <x:c r="A21" s="139"/>
      <x:c r="B21" s="0" t="s">
        <x:v>27</x:v>
      </x:c>
      <x:c r="C21" s="140">
        <x:v>6</x:v>
      </x:c>
      <x:c r="D21" s="141"/>
      <x:c r="E21" s="140">
        <x:f>C21*A21</x:f>
      </x:c>
      <x:c r="F21" s="141"/>
      <x:c r="G21" s="140">
        <x:f>C21*0.23*3*A21</x:f>
      </x:c>
      <x:c r="H21" s="141"/>
    </x:row>
    <x:row r="22" spans="1:20">
      <x:c r="A22" s="137"/>
      <x:c r="B22" s="2"/>
      <x:c r="C22" s="4"/>
      <x:c r="D22" s="4"/>
      <x:c r="E22" s="4"/>
      <x:c r="F22" s="4"/>
      <x:c r="G22" s="4"/>
      <x:c r="H22" s="4"/>
    </x:row>
    <x:row r="23" spans="1:20">
      <x:c r="A23" s="137"/>
      <x:c r="B23" s="2" t="s">
        <x:v>30</x:v>
      </x:c>
      <x:c r="C23" s="4"/>
      <x:c r="D23" s="4"/>
      <x:c r="E23" s="4"/>
      <x:c r="F23" s="4"/>
      <x:c r="G23" s="4"/>
      <x:c r="H23" s="4"/>
    </x:row>
    <x:row r="24" spans="1:20">
      <x:c r="A24" s="137"/>
      <x:c r="B24" s="0" t="s">
        <x:v>31</x:v>
      </x:c>
      <x:c r="C24" s="141"/>
      <x:c r="D24" s="141"/>
      <x:c r="E24" s="140">
        <x:f>G24*1000/(3*230)</x:f>
      </x:c>
      <x:c r="F24" s="141"/>
      <x:c r="G24" s="142"/>
      <x:c r="H24" s="141"/>
    </x:row>
    <x:row r="25" spans="1:20">
      <x:c r="A25" s="137"/>
      <x:c r="C25" s="4"/>
      <x:c r="D25" s="4"/>
      <x:c r="E25" s="4"/>
      <x:c r="F25" s="4"/>
      <x:c r="G25" s="4"/>
      <x:c r="H25" s="4"/>
    </x:row>
    <x:row r="26" spans="1:20">
      <x:c r="A26" s="137"/>
      <x:c r="B26" s="2" t="s">
        <x:v>32</x:v>
      </x:c>
      <x:c r="C26" s="4"/>
      <x:c r="D26" s="4"/>
      <x:c r="E26" s="4"/>
      <x:c r="F26" s="4"/>
      <x:c r="G26" s="4"/>
      <x:c r="H26" s="4"/>
    </x:row>
    <x:row r="27" spans="1:20">
      <x:c r="A27" s="139"/>
      <x:c r="B27" s="0" t="s">
        <x:v>33</x:v>
      </x:c>
      <x:c r="C27" s="140">
        <x:v>8.7</x:v>
      </x:c>
      <x:c r="D27" s="140">
        <x:v>8.7</x:v>
      </x:c>
      <x:c r="E27" s="140">
        <x:f>C27*A27</x:f>
      </x:c>
      <x:c r="F27" s="140">
        <x:f>D27*A27</x:f>
      </x:c>
      <x:c r="G27" s="140">
        <x:f>C27*0.23*3*A27</x:f>
      </x:c>
      <x:c r="H27" s="140">
        <x:f>D27*0.23*3*A27</x:f>
      </x:c>
    </x:row>
    <x:row r="28" spans="1:20">
      <x:c r="A28" s="139"/>
      <x:c r="B28" s="0" t="s">
        <x:v>34</x:v>
      </x:c>
      <x:c r="C28" s="140">
        <x:v>32</x:v>
      </x:c>
      <x:c r="D28" s="140">
        <x:v>32</x:v>
      </x:c>
      <x:c r="E28" s="140">
        <x:f>C28*A28</x:f>
      </x:c>
      <x:c r="F28" s="140">
        <x:f>D28*A28</x:f>
      </x:c>
      <x:c r="G28" s="140">
        <x:f>C28*0.23*3*A28</x:f>
      </x:c>
      <x:c r="H28" s="140">
        <x:f>D28*0.23*3*A28</x:f>
      </x:c>
    </x:row>
    <x:row r="29" spans="1:20">
      <x:c r="A29" s="139"/>
      <x:c r="B29" s="0" t="s">
        <x:v>35</x:v>
      </x:c>
      <x:c r="C29" s="140">
        <x:v>44</x:v>
      </x:c>
      <x:c r="D29" s="140">
        <x:v>44</x:v>
      </x:c>
      <x:c r="E29" s="140">
        <x:f>C29*A29</x:f>
      </x:c>
      <x:c r="F29" s="140">
        <x:f>D29*A29</x:f>
      </x:c>
      <x:c r="G29" s="140">
        <x:f>C29*0.23*3*A29</x:f>
      </x:c>
      <x:c r="H29" s="140">
        <x:f>D29*0.23*3*A29</x:f>
      </x:c>
    </x:row>
    <x:row r="30" spans="1:20">
      <x:c r="A30" s="139"/>
      <x:c r="B30" s="0" t="s">
        <x:v>36</x:v>
      </x:c>
      <x:c r="C30" s="140">
        <x:v>65</x:v>
      </x:c>
      <x:c r="D30" s="140">
        <x:v>65</x:v>
      </x:c>
      <x:c r="E30" s="140">
        <x:f>C30*A30</x:f>
      </x:c>
      <x:c r="F30" s="140">
        <x:f>D30*A30</x:f>
      </x:c>
      <x:c r="G30" s="140">
        <x:f>C30*0.23*3*A30</x:f>
      </x:c>
      <x:c r="H30" s="140">
        <x:f>D30*0.23*3*A30</x:f>
      </x:c>
      <x:c r="K30" s="0" t="s">
        <x:v>37</x:v>
      </x:c>
    </x:row>
    <x:row r="31" spans="1:20">
      <x:c r="A31" s="137"/>
      <x:c r="C31" s="4"/>
      <x:c r="D31" s="4"/>
      <x:c r="E31" s="4"/>
      <x:c r="F31" s="4"/>
      <x:c r="G31" s="4"/>
      <x:c r="H31" s="4"/>
    </x:row>
    <x:row r="32" spans="1:20">
      <x:c r="A32" s="137"/>
      <x:c r="B32" s="2" t="s">
        <x:v>38</x:v>
      </x:c>
      <x:c r="C32" s="4"/>
      <x:c r="D32" s="4"/>
      <x:c r="E32" s="4"/>
      <x:c r="F32" s="4"/>
      <x:c r="G32" s="4"/>
      <x:c r="H32" s="4"/>
    </x:row>
    <x:row r="33" spans="1:20">
      <x:c r="A33" s="139"/>
      <x:c r="B33" s="0" t="s">
        <x:v>39</x:v>
      </x:c>
      <x:c r="C33" s="140">
        <x:v>138</x:v>
      </x:c>
      <x:c r="D33" s="140">
        <x:v>138</x:v>
      </x:c>
      <x:c r="E33" s="140">
        <x:f>C33*A33</x:f>
      </x:c>
      <x:c r="F33" s="140">
        <x:f>D33*A33</x:f>
      </x:c>
      <x:c r="G33" s="140">
        <x:f>C33*0.23*3*A33</x:f>
      </x:c>
      <x:c r="H33" s="140">
        <x:f>D33*0.23*3*A33</x:f>
      </x:c>
    </x:row>
    <x:row r="34" spans="1:20">
      <x:c r="A34" s="139"/>
      <x:c r="B34" s="0" t="s">
        <x:v>40</x:v>
      </x:c>
      <x:c r="C34" s="140">
        <x:v>210</x:v>
      </x:c>
      <x:c r="D34" s="140">
        <x:v>210</x:v>
      </x:c>
      <x:c r="E34" s="140">
        <x:f>C34*A34</x:f>
      </x:c>
      <x:c r="F34" s="140">
        <x:f>D34*A34</x:f>
      </x:c>
      <x:c r="G34" s="140">
        <x:f>C34*0.23*3*A34</x:f>
      </x:c>
      <x:c r="H34" s="140">
        <x:f>D34*0.23*3*A34</x:f>
      </x:c>
    </x:row>
    <x:row r="35" spans="1:20">
      <x:c r="A35" s="139"/>
      <x:c r="B35" s="0" t="s">
        <x:v>41</x:v>
      </x:c>
      <x:c r="C35" s="139"/>
      <x:c r="D35" s="139"/>
      <x:c r="E35" s="140">
        <x:f>C35*A35</x:f>
      </x:c>
      <x:c r="F35" s="140">
        <x:f>D35*A35</x:f>
      </x:c>
      <x:c r="G35" s="140">
        <x:f>C35*0.23*3*A35</x:f>
      </x:c>
      <x:c r="H35" s="140">
        <x:f>D35*0.23*3*A35</x:f>
      </x:c>
    </x:row>
    <x:row r="36" spans="1:20">
      <x:c r="A36" s="137"/>
      <x:c r="C36" s="4"/>
      <x:c r="D36" s="4"/>
      <x:c r="E36" s="4"/>
      <x:c r="F36" s="4"/>
      <x:c r="G36" s="4"/>
      <x:c r="H36" s="4"/>
    </x:row>
    <x:row r="37" spans="1:20">
      <x:c r="A37" s="137"/>
      <x:c r="B37" s="2" t="s">
        <x:v>42</x:v>
      </x:c>
      <x:c r="C37" s="4"/>
      <x:c r="D37" s="4"/>
      <x:c r="E37" s="4"/>
      <x:c r="F37" s="4"/>
      <x:c r="G37" s="4"/>
      <x:c r="H37" s="4"/>
    </x:row>
    <x:row r="38" spans="1:20">
      <x:c r="A38" s="139"/>
      <x:c r="B38" s="0" t="s">
        <x:v>43</x:v>
      </x:c>
      <x:c r="C38" s="140">
        <x:v>6.7</x:v>
      </x:c>
      <x:c r="D38" s="141"/>
      <x:c r="E38" s="140">
        <x:f>C38*A38</x:f>
      </x:c>
      <x:c r="F38" s="141"/>
      <x:c r="G38" s="140">
        <x:f>C38*0.23*3*A38</x:f>
      </x:c>
      <x:c r="H38" s="141"/>
    </x:row>
    <x:row r="39" spans="1:20">
      <x:c r="A39" s="137"/>
    </x:row>
    <x:row r="40" spans="1:20">
      <x:c r="A40" s="137"/>
      <x:c r="B40" s="2" t="s">
        <x:v>44</x:v>
      </x:c>
    </x:row>
    <x:row r="41" spans="1:20">
      <x:c r="A41" s="139"/>
      <x:c r="B41" s="0" t="s">
        <x:v>45</x:v>
      </x:c>
      <x:c r="C41" s="140">
        <x:v>5.8</x:v>
      </x:c>
      <x:c r="D41" s="141"/>
      <x:c r="E41" s="140">
        <x:f>C41*A41</x:f>
      </x:c>
      <x:c r="F41" s="141"/>
      <x:c r="G41" s="140">
        <x:f>C41*0.23*3*A41</x:f>
      </x:c>
      <x:c r="H41" s="141"/>
    </x:row>
    <x:row r="42" spans="1:20">
      <x:c r="A42" s="139"/>
      <x:c r="B42" s="0" t="s">
        <x:v>46</x:v>
      </x:c>
      <x:c r="C42" s="140">
        <x:v>22</x:v>
      </x:c>
      <x:c r="D42" s="141"/>
      <x:c r="E42" s="140">
        <x:f>C42*A42</x:f>
      </x:c>
      <x:c r="F42" s="141"/>
      <x:c r="G42" s="140">
        <x:f>C42*0.23*3*A42</x:f>
      </x:c>
      <x:c r="H42" s="141"/>
    </x:row>
    <x:row r="43" spans="1:20">
      <x:c r="A43" s="139"/>
      <x:c r="B43" s="0" t="s">
        <x:v>47</x:v>
      </x:c>
      <x:c r="C43" s="140">
        <x:v>36</x:v>
      </x:c>
      <x:c r="D43" s="141"/>
      <x:c r="E43" s="140">
        <x:f>C43*A43</x:f>
      </x:c>
      <x:c r="F43" s="141"/>
      <x:c r="G43" s="140">
        <x:f>C43*0.23*3*A43</x:f>
      </x:c>
      <x:c r="H43" s="141"/>
    </x:row>
    <x:row r="45" spans="1:20" ht="15.75" customHeight="1">
      <x:c r="B45" s="7" t="s">
        <x:v>58</x:v>
      </x:c>
      <x:c r="C45" s="143">
        <x:f>MAX(SUM(E5:E43),SUM(F5:F43))</x:f>
      </x:c>
    </x:row>
  </x:sheetData>
  <x:mergeCells count="1">
    <x:mergeCell ref="A1:G1"/>
  </x:mergeCells>
  <x:printOptions horizontalCentered="0" verticalCentered="0" headings="0" gridLines="0"/>
  <x:pageMargins left="0.7" right="0.7" top="0.75" bottom="0.75" header="0.3" footer="0.3"/>
  <x:pageSetup paperSize="9" scale="100" pageOrder="downThenOver" orientation="portrait"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17"/>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63"/>
  <x:sheetViews>
    <x:sheetView topLeftCell="E6" workbookViewId="0">
      <x:selection activeCell="T13" sqref="T13"/>
    </x:sheetView>
  </x:sheetViews>
  <x:sheetFormatPr defaultRowHeight="15"/>
  <x:cols>
    <x:col min="1" max="1" width="1.570312" style="0" customWidth="1"/>
    <x:col min="2" max="2" width="21.570312" style="0" customWidth="1"/>
    <x:col min="3" max="4" width="8.855469" style="27" customWidth="1"/>
    <x:col min="5" max="8" width="12.140625" style="27" customWidth="1"/>
    <x:col min="9" max="9" width="6.425781" style="27" customWidth="1"/>
    <x:col min="10" max="16" width="12.710938" style="24" customWidth="1"/>
    <x:col min="17" max="17" width="70.570312" style="27" customWidth="1"/>
    <x:col min="18" max="18" width="46.285156" style="0" customWidth="1"/>
    <x:col min="19" max="22" width="9.140625" style="0" customWidth="1"/>
    <x:col min="23" max="23" width="10.710938" style="0" customWidth="1"/>
  </x:cols>
  <x:sheetData>
    <x:row r="1" spans="1:25" ht="23.25" customHeight="1">
      <x:c r="B1" s="145" t="s">
        <x:v>68</x:v>
      </x:c>
      <x:c r="C1" s="146"/>
      <x:c r="D1" s="146"/>
      <x:c r="E1" s="146"/>
      <x:c r="F1" s="146"/>
      <x:c r="G1" s="146"/>
      <x:c r="H1" s="146"/>
      <x:c r="I1" s="146"/>
      <x:c r="J1" s="147"/>
      <x:c r="K1" s="147"/>
      <x:c r="L1" s="147"/>
      <x:c r="M1" s="147"/>
      <x:c r="Q1" s="148" t="s">
        <x:v>69</x:v>
      </x:c>
    </x:row>
    <x:row r="2" spans="1:25" ht="18.75" customHeight="1">
      <x:c r="B2" s="26" t="s">
        <x:v>70</x:v>
      </x:c>
      <x:c r="C2" s="26"/>
      <x:c r="D2" s="26"/>
      <x:c r="E2" s="26"/>
      <x:c r="F2" s="26"/>
      <x:c r="G2" s="26"/>
      <x:c r="H2" s="26"/>
      <x:c r="I2" s="26"/>
      <x:c r="J2" s="26"/>
      <x:c r="K2" s="26"/>
      <x:c r="L2" s="26"/>
      <x:c r="M2" s="26"/>
      <x:c r="N2" s="26"/>
      <x:c r="O2" s="26"/>
      <x:c r="P2" s="26"/>
      <x:c r="Q2" s="26"/>
      <x:c r="R2" s="26"/>
    </x:row>
    <x:row r="3" spans="1:25" ht="18.75" customHeight="1">
      <x:c r="B3" s="26" t="s">
        <x:v>71</x:v>
      </x:c>
      <x:c r="C3" s="26"/>
      <x:c r="D3" s="26"/>
      <x:c r="E3" s="26"/>
      <x:c r="F3" s="26"/>
      <x:c r="G3" s="26"/>
      <x:c r="H3" s="26"/>
      <x:c r="I3" s="26"/>
      <x:c r="J3" s="26"/>
      <x:c r="K3" s="26"/>
      <x:c r="L3" s="26"/>
      <x:c r="M3" s="26"/>
      <x:c r="N3" s="26"/>
      <x:c r="O3" s="26"/>
      <x:c r="P3" s="26"/>
      <x:c r="Q3" s="26"/>
      <x:c r="R3" s="26"/>
    </x:row>
    <x:row r="4" spans="1:25" ht="18.75" customHeight="1">
      <x:c r="B4" s="26"/>
      <x:c r="C4" s="26"/>
      <x:c r="D4" s="26"/>
      <x:c r="E4" s="26"/>
      <x:c r="F4" s="26"/>
      <x:c r="G4" s="26"/>
      <x:c r="H4" s="26"/>
      <x:c r="I4" s="26"/>
      <x:c r="J4" s="26"/>
      <x:c r="K4" s="26"/>
      <x:c r="L4" s="26"/>
      <x:c r="M4" s="26"/>
      <x:c r="N4" s="26"/>
      <x:c r="O4" s="26"/>
      <x:c r="P4" s="26"/>
      <x:c r="Q4" s="26"/>
      <x:c r="R4" s="26"/>
    </x:row>
    <x:row r="5" spans="1:25" ht="18.75" customHeight="1">
      <x:c r="B5" s="26"/>
      <x:c r="C5" s="26"/>
      <x:c r="D5" s="26"/>
      <x:c r="E5" s="26"/>
      <x:c r="F5" s="26"/>
      <x:c r="G5" s="26"/>
      <x:c r="H5" s="26"/>
      <x:c r="I5" s="26"/>
      <x:c r="J5" s="26"/>
      <x:c r="K5" s="26"/>
      <x:c r="L5" s="26"/>
      <x:c r="M5" s="26"/>
      <x:c r="N5" s="26"/>
      <x:c r="O5" s="26"/>
      <x:c r="P5" s="26"/>
      <x:c r="Q5" s="26"/>
      <x:c r="R5" s="26"/>
    </x:row>
    <x:row r="6" spans="1:25" ht="18.75" customHeight="1">
      <x:c r="B6" s="26"/>
      <x:c r="C6" s="26"/>
      <x:c r="D6" s="26"/>
      <x:c r="E6" s="26"/>
      <x:c r="F6" s="26"/>
      <x:c r="G6" s="26"/>
      <x:c r="H6" s="26"/>
      <x:c r="I6" s="26"/>
      <x:c r="J6" s="26"/>
      <x:c r="K6" s="26"/>
      <x:c r="L6" s="26"/>
      <x:c r="M6" s="26"/>
      <x:c r="N6" s="26"/>
      <x:c r="O6" s="26"/>
      <x:c r="P6" s="26"/>
      <x:c r="Q6" s="26"/>
      <x:c r="R6" s="26"/>
    </x:row>
    <x:row r="7" spans="1:25" ht="18.75" customHeight="1">
      <x:c r="B7" s="26"/>
      <x:c r="C7" s="26"/>
      <x:c r="D7" s="26"/>
      <x:c r="E7" s="26"/>
      <x:c r="F7" s="26"/>
      <x:c r="G7" s="26"/>
      <x:c r="H7" s="26"/>
      <x:c r="I7" s="26"/>
      <x:c r="J7" s="26"/>
      <x:c r="K7" s="26"/>
      <x:c r="L7" s="26"/>
      <x:c r="M7" s="26"/>
      <x:c r="N7" s="26"/>
      <x:c r="O7" s="26"/>
      <x:c r="P7" s="26"/>
      <x:c r="Q7" s="26"/>
      <x:c r="R7" s="26"/>
    </x:row>
    <x:row r="8" spans="1:25" ht="18.75" customHeight="1">
      <x:c r="B8" s="26"/>
      <x:c r="C8" s="26"/>
      <x:c r="D8" s="26"/>
      <x:c r="E8" s="26"/>
      <x:c r="F8" s="26"/>
      <x:c r="G8" s="26"/>
      <x:c r="H8" s="26"/>
      <x:c r="I8" s="26"/>
      <x:c r="J8" s="26"/>
      <x:c r="K8" s="26"/>
      <x:c r="L8" s="26"/>
      <x:c r="M8" s="26"/>
      <x:c r="N8" s="26"/>
      <x:c r="O8" s="26"/>
      <x:c r="P8" s="26"/>
      <x:c r="Q8" s="26"/>
      <x:c r="R8" s="26"/>
    </x:row>
    <x:row r="9" spans="1:25" ht="18.75" customHeight="1">
      <x:c r="B9" s="26"/>
      <x:c r="C9" s="26"/>
      <x:c r="D9" s="26"/>
      <x:c r="E9" s="26"/>
      <x:c r="F9" s="26"/>
      <x:c r="G9" s="26"/>
      <x:c r="H9" s="26"/>
      <x:c r="I9" s="26"/>
      <x:c r="J9" s="26"/>
      <x:c r="K9" s="26"/>
      <x:c r="L9" s="26"/>
      <x:c r="M9" s="26"/>
      <x:c r="N9" s="26"/>
      <x:c r="O9" s="26"/>
      <x:c r="P9" s="26"/>
      <x:c r="Q9" s="26"/>
      <x:c r="R9" s="26"/>
    </x:row>
    <x:row r="10" spans="1:25" ht="18.75" customHeight="1">
      <x:c r="B10" s="26"/>
      <x:c r="C10" s="26"/>
      <x:c r="D10" s="26"/>
      <x:c r="E10" s="26"/>
      <x:c r="F10" s="26"/>
      <x:c r="G10" s="26"/>
      <x:c r="H10" s="26"/>
      <x:c r="I10" s="26"/>
      <x:c r="J10" s="26"/>
      <x:c r="K10" s="26"/>
      <x:c r="L10" s="26"/>
      <x:c r="M10" s="26"/>
      <x:c r="N10" s="26"/>
      <x:c r="O10" s="26"/>
      <x:c r="P10" s="26"/>
      <x:c r="Q10" s="26"/>
      <x:c r="R10" s="26"/>
    </x:row>
    <x:row r="11" spans="1:25" ht="15.75" customHeight="1"/>
    <x:row r="12" spans="1:25" s="24" customFormat="1">
      <x:c r="B12" s="149" t="s">
        <x:v>72</x:v>
      </x:c>
      <x:c r="C12" s="29"/>
      <x:c r="D12" s="30"/>
      <x:c r="E12" s="31"/>
      <x:c r="F12" s="29"/>
      <x:c r="G12" s="30"/>
      <x:c r="H12" s="31"/>
      <x:c r="I12" s="75"/>
      <x:c r="J12" s="150" t="s">
        <x:v>73</x:v>
      </x:c>
      <x:c r="K12" s="150" t="s">
        <x:v>74</x:v>
      </x:c>
      <x:c r="L12" s="150" t="s">
        <x:v>75</x:v>
      </x:c>
      <x:c r="M12" s="150" t="s">
        <x:v>76</x:v>
      </x:c>
      <x:c r="N12" s="150" t="s">
        <x:v>77</x:v>
      </x:c>
      <x:c r="O12" s="150" t="s">
        <x:v>78</x:v>
      </x:c>
      <x:c r="P12" s="151" t="s">
        <x:v>79</x:v>
      </x:c>
      <x:c r="Q12" s="152"/>
      <x:c r="R12" s="33"/>
    </x:row>
    <x:row r="13" spans="1:25" s="24" customFormat="1">
      <x:c r="B13" s="84" t="s">
        <x:v>80</x:v>
      </x:c>
      <x:c r="C13" s="38"/>
      <x:c r="D13" s="39"/>
      <x:c r="E13" s="40"/>
      <x:c r="F13" s="38"/>
      <x:c r="G13" s="39"/>
      <x:c r="H13" s="40"/>
      <x:c r="I13" s="77"/>
      <x:c r="J13" s="107" t="s">
        <x:v>81</x:v>
      </x:c>
      <x:c r="K13" s="107" t="s">
        <x:v>82</x:v>
      </x:c>
      <x:c r="L13" s="107" t="s">
        <x:v>83</x:v>
      </x:c>
      <x:c r="M13" s="107" t="s">
        <x:v>84</x:v>
      </x:c>
      <x:c r="N13" s="107" t="s">
        <x:v>85</x:v>
      </x:c>
      <x:c r="O13" s="107" t="s">
        <x:v>86</x:v>
      </x:c>
      <x:c r="P13" s="108" t="s">
        <x:v>87</x:v>
      </x:c>
      <x:c r="Q13" s="153" t="s">
        <x:v>88</x:v>
      </x:c>
      <x:c r="R13" s="35"/>
    </x:row>
    <x:row r="14" spans="1:25" s="24" customFormat="1">
      <x:c r="B14" s="36"/>
      <x:c r="C14" s="65" t="s">
        <x:v>89</x:v>
      </x:c>
      <x:c r="D14" s="27"/>
      <x:c r="E14" s="66"/>
      <x:c r="F14" s="65" t="s">
        <x:v>90</x:v>
      </x:c>
      <x:c r="G14" s="27"/>
      <x:c r="H14" s="66"/>
      <x:c r="I14" s="76"/>
      <x:c r="J14" s="3">
        <x:v>63</x:v>
      </x:c>
      <x:c r="K14" s="3">
        <x:v>80</x:v>
      </x:c>
      <x:c r="L14" s="3">
        <x:v>100</x:v>
      </x:c>
      <x:c r="M14" s="3">
        <x:v>125</x:v>
      </x:c>
      <x:c r="N14" s="3">
        <x:v>160</x:v>
      </x:c>
      <x:c r="O14" s="3">
        <x:v>200</x:v>
      </x:c>
      <x:c r="P14" s="109">
        <x:v>250</x:v>
      </x:c>
      <x:c r="Q14" s="153" t="s">
        <x:v>91</x:v>
      </x:c>
      <x:c r="R14" s="35"/>
    </x:row>
    <x:row r="15" spans="1:25" s="24" customFormat="1">
      <x:c r="B15" s="36"/>
      <x:c r="C15" s="65" t="s">
        <x:v>92</x:v>
      </x:c>
      <x:c r="D15" s="27" t="s">
        <x:v>92</x:v>
      </x:c>
      <x:c r="E15" s="66" t="s">
        <x:v>92</x:v>
      </x:c>
      <x:c r="F15" s="65" t="s">
        <x:v>92</x:v>
      </x:c>
      <x:c r="G15" s="27" t="s">
        <x:v>92</x:v>
      </x:c>
      <x:c r="H15" s="66" t="s">
        <x:v>92</x:v>
      </x:c>
      <x:c r="I15" s="76" t="s">
        <x:v>93</x:v>
      </x:c>
      <x:c r="J15" s="3" t="s">
        <x:v>92</x:v>
      </x:c>
      <x:c r="K15" s="3" t="s">
        <x:v>92</x:v>
      </x:c>
      <x:c r="L15" s="3" t="s">
        <x:v>92</x:v>
      </x:c>
      <x:c r="M15" s="3" t="s">
        <x:v>92</x:v>
      </x:c>
      <x:c r="N15" s="3" t="s">
        <x:v>92</x:v>
      </x:c>
      <x:c r="O15" s="3" t="s">
        <x:v>92</x:v>
      </x:c>
      <x:c r="P15" s="109" t="s">
        <x:v>92</x:v>
      </x:c>
      <x:c r="Q15" s="153" t="s">
        <x:v>94</x:v>
      </x:c>
      <x:c r="R15" s="35"/>
    </x:row>
    <x:row r="16" spans="1:25" s="24" customFormat="1">
      <x:c r="B16" s="36"/>
      <x:c r="C16" s="65"/>
      <x:c r="D16" s="27"/>
      <x:c r="E16" s="66"/>
      <x:c r="F16" s="65"/>
      <x:c r="G16" s="27"/>
      <x:c r="H16" s="66"/>
      <x:c r="I16" s="76"/>
      <x:c r="J16" s="3">
        <x:v>0.25</x:v>
      </x:c>
      <x:c r="K16" s="3">
        <x:v>0.25</x:v>
      </x:c>
      <x:c r="L16" s="3">
        <x:v>0.204</x:v>
      </x:c>
      <x:c r="M16" s="3">
        <x:v>0.163</x:v>
      </x:c>
      <x:c r="N16" s="3">
        <x:v>0.128</x:v>
      </x:c>
      <x:c r="O16" s="3">
        <x:v>0.092</x:v>
      </x:c>
      <x:c r="P16" s="109">
        <x:v>0.062</x:v>
      </x:c>
      <x:c r="Q16" s="153"/>
      <x:c r="R16" s="35"/>
    </x:row>
    <x:row r="17" spans="1:25" s="24" customFormat="1">
      <x:c r="B17" s="37" t="s">
        <x:v>95</x:v>
      </x:c>
      <x:c r="C17" s="38" t="s">
        <x:v>96</x:v>
      </x:c>
      <x:c r="D17" s="39" t="s">
        <x:v>97</x:v>
      </x:c>
      <x:c r="E17" s="40" t="s">
        <x:v>98</x:v>
      </x:c>
      <x:c r="F17" s="38" t="s">
        <x:v>96</x:v>
      </x:c>
      <x:c r="G17" s="39" t="s">
        <x:v>97</x:v>
      </x:c>
      <x:c r="H17" s="40" t="s">
        <x:v>98</x:v>
      </x:c>
      <x:c r="I17" s="77"/>
      <x:c r="J17" s="3">
        <x:v>0.25</x:v>
      </x:c>
      <x:c r="K17" s="3">
        <x:v>0.25</x:v>
      </x:c>
      <x:c r="L17" s="3">
        <x:v>0.25</x:v>
      </x:c>
      <x:c r="M17" s="3">
        <x:v>0.25</x:v>
      </x:c>
      <x:c r="N17" s="3">
        <x:v>0.25</x:v>
      </x:c>
      <x:c r="O17" s="3">
        <x:v>0.218</x:v>
      </x:c>
      <x:c r="P17" s="109">
        <x:v>0.171</x:v>
      </x:c>
      <x:c r="Q17" s="154" t="s">
        <x:v>99</x:v>
      </x:c>
      <x:c r="R17" s="41"/>
    </x:row>
    <x:row r="18" spans="1:25" s="24" customFormat="1">
      <x:c r="B18" s="36" t="s">
        <x:v>100</x:v>
      </x:c>
      <x:c r="C18" s="42">
        <x:v>0.129</x:v>
      </x:c>
      <x:c r="D18" s="78">
        <x:v>0.073</x:v>
      </x:c>
      <x:c r="E18" s="43">
        <x:f>SQRT(C18^2+D18^2)</x:f>
      </x:c>
      <x:c r="F18" s="42">
        <x:f>+C18*Q18/1000</x:f>
      </x:c>
      <x:c r="G18" s="78">
        <x:f>+Q18*D18/1000</x:f>
      </x:c>
      <x:c r="H18" s="43"/>
      <x:c r="I18" s="103">
        <x:v>359</x:v>
      </x:c>
      <x:c r="J18" s="110">
        <x:f>IF(J$14&lt;=$I18+3,+$Q18,"X")</x:f>
      </x:c>
      <x:c r="K18" s="111">
        <x:f>IF(K$14&lt;=$I18+3,+$Q18,"X")</x:f>
      </x:c>
      <x:c r="L18" s="111">
        <x:f>IF(L$14&lt;=$I18+3,+$Q18,"X")</x:f>
      </x:c>
      <x:c r="M18" s="111">
        <x:f>IF(M$14&lt;=$I18+3,+$Q18,"X")</x:f>
      </x:c>
      <x:c r="N18" s="111">
        <x:f>IF(N$14&lt;=$I18+3,+$Q18,"X")</x:f>
      </x:c>
      <x:c r="O18" s="111">
        <x:f>IF(O$14&lt;=$I18+3,+$Q18,"X")</x:f>
      </x:c>
      <x:c r="P18" s="112">
        <x:f>IF(P$14&lt;=$I18+3,+$Q18,"X")</x:f>
      </x:c>
      <x:c r="Q18" s="155"/>
      <x:c r="R18" s="44" t="s">
        <x:v>100</x:v>
      </x:c>
    </x:row>
    <x:row r="19" spans="1:25" s="24" customFormat="1">
      <x:c r="B19" s="36" t="s">
        <x:v>101</x:v>
      </x:c>
      <x:c r="C19" s="42">
        <x:v>0.206</x:v>
      </x:c>
      <x:c r="D19" s="78">
        <x:v>0.079</x:v>
      </x:c>
      <x:c r="E19" s="43">
        <x:f>SQRT(C19^2+D19^2)</x:f>
      </x:c>
      <x:c r="F19" s="42">
        <x:f>+C19*Q19/1000</x:f>
      </x:c>
      <x:c r="G19" s="78">
        <x:f>+Q19*D19/1000</x:f>
      </x:c>
      <x:c r="H19" s="43"/>
      <x:c r="I19" s="103">
        <x:v>272</x:v>
      </x:c>
      <x:c r="J19" s="113">
        <x:f>IF(J$14&lt;=$I19+3,+$Q19,"X")</x:f>
      </x:c>
      <x:c r="K19" s="156">
        <x:f>IF(K$14&lt;=$I19+3,+$Q19,"X")</x:f>
      </x:c>
      <x:c r="L19" s="156">
        <x:f>IF(L$14&lt;=$I19+3,+$Q19,"X")</x:f>
      </x:c>
      <x:c r="M19" s="156">
        <x:f>IF(M$14&lt;=$I19+3,+$Q19,"X")</x:f>
      </x:c>
      <x:c r="N19" s="156">
        <x:f>IF(N$14&lt;=$I19+3,+$Q19,"X")</x:f>
      </x:c>
      <x:c r="O19" s="156">
        <x:f>IF(O$14&lt;=$I19+3,+$Q19,"X")</x:f>
      </x:c>
      <x:c r="P19" s="115">
        <x:f>IF(P$14&lt;=$I19+3,+$Q19,"X")</x:f>
      </x:c>
      <x:c r="Q19" s="157">
        <x:v>100</x:v>
      </x:c>
      <x:c r="R19" s="44" t="s">
        <x:v>101</x:v>
      </x:c>
    </x:row>
    <x:row r="20" spans="1:25" s="24" customFormat="1">
      <x:c r="B20" s="36" t="s">
        <x:v>102</x:v>
      </x:c>
      <x:c r="C20" s="42">
        <x:v>0.281</x:v>
      </x:c>
      <x:c r="D20" s="78">
        <x:v>0.081</x:v>
      </x:c>
      <x:c r="E20" s="43">
        <x:f>SQRT(C20^2+D20^2)</x:f>
      </x:c>
      <x:c r="F20" s="42">
        <x:f>+C20*Q20/1000</x:f>
      </x:c>
      <x:c r="G20" s="78">
        <x:f>+Q20*D20/1000</x:f>
      </x:c>
      <x:c r="H20" s="43"/>
      <x:c r="I20" s="103">
        <x:v>243</x:v>
      </x:c>
      <x:c r="J20" s="113">
        <x:f>IF(J$14&lt;=$I20+3,+$Q20,"X")</x:f>
      </x:c>
      <x:c r="K20" s="156">
        <x:f>IF(K$14&lt;=$I20+3,+$Q20,"X")</x:f>
      </x:c>
      <x:c r="L20" s="156">
        <x:f>IF(L$14&lt;=$I20+3,+$Q20,"X")</x:f>
      </x:c>
      <x:c r="M20" s="156">
        <x:f>IF(M$14&lt;=$I20+3,+$Q20,"X")</x:f>
      </x:c>
      <x:c r="N20" s="156">
        <x:f>IF(N$14&lt;=$I20+3,+$Q20,"X")</x:f>
      </x:c>
      <x:c r="O20" s="156">
        <x:f>IF(O$14&lt;=$I20+3,+$Q20,"X")</x:f>
      </x:c>
      <x:c r="P20" s="115">
        <x:f>IF(P$14&lt;=$I20+3,+$Q20,"X")</x:f>
      </x:c>
      <x:c r="Q20" s="155"/>
      <x:c r="R20" s="44" t="s">
        <x:v>102</x:v>
      </x:c>
    </x:row>
    <x:row r="21" spans="1:25" s="24" customFormat="1">
      <x:c r="B21" s="36" t="s">
        <x:v>103</x:v>
      </x:c>
      <x:c r="C21" s="42">
        <x:v>0.32</x:v>
      </x:c>
      <x:c r="D21" s="78">
        <x:v>0.082</x:v>
      </x:c>
      <x:c r="E21" s="43">
        <x:f>SQRT(C21^2+D21^2)</x:f>
      </x:c>
      <x:c r="F21" s="42">
        <x:f>+C21*Q21/1000</x:f>
      </x:c>
      <x:c r="G21" s="78">
        <x:f>+Q21*D21/1000</x:f>
      </x:c>
      <x:c r="H21" s="43"/>
      <x:c r="I21" s="103">
        <x:v>213</x:v>
      </x:c>
      <x:c r="J21" s="113">
        <x:f>IF(J$14&lt;=$I21+3,+$Q21,"X")</x:f>
      </x:c>
      <x:c r="K21" s="156">
        <x:f>IF(K$14&lt;=$I21+3,+$Q21,"X")</x:f>
      </x:c>
      <x:c r="L21" s="156">
        <x:f>IF(L$14&lt;=$I21+3,+$Q21,"X")</x:f>
      </x:c>
      <x:c r="M21" s="156">
        <x:f>IF(M$14&lt;=$I21+3,+$Q21,"X")</x:f>
      </x:c>
      <x:c r="N21" s="156">
        <x:f>IF(N$14&lt;=$I21+3,+$Q21,"X")</x:f>
      </x:c>
      <x:c r="O21" s="156">
        <x:f>IF(O$14&lt;=$I21+3,+$Q21,"X")</x:f>
      </x:c>
      <x:c r="P21" s="115">
        <x:f>IF(P$14&lt;=$I21+3,+$Q21,"X")</x:f>
      </x:c>
      <x:c r="Q21" s="155"/>
      <x:c r="R21" s="44" t="s">
        <x:v>103</x:v>
      </x:c>
    </x:row>
    <x:row r="22" spans="1:25" s="24" customFormat="1">
      <x:c r="B22" s="36" t="s">
        <x:v>104</x:v>
      </x:c>
      <x:c r="C22" s="42">
        <x:v>0.443</x:v>
      </x:c>
      <x:c r="D22" s="78">
        <x:f>(D21+D23)/2</x:f>
      </x:c>
      <x:c r="E22" s="43">
        <x:f>SQRT(C22^2+D22^2)</x:f>
      </x:c>
      <x:c r="F22" s="42">
        <x:f>+C22*Q22/1000</x:f>
      </x:c>
      <x:c r="G22" s="78">
        <x:f>+Q22*D22/1000</x:f>
      </x:c>
      <x:c r="H22" s="43"/>
      <x:c r="I22" s="103">
        <x:v>177</x:v>
      </x:c>
      <x:c r="J22" s="113">
        <x:f>IF(J$14&lt;=$I22+3,+$Q22,"X")</x:f>
      </x:c>
      <x:c r="K22" s="156">
        <x:f>IF(K$14&lt;=$I22+3,+$Q22,"X")</x:f>
      </x:c>
      <x:c r="L22" s="156">
        <x:f>IF(L$14&lt;=$I22+3,+$Q22,"X")</x:f>
      </x:c>
      <x:c r="M22" s="156">
        <x:f>IF(M$14&lt;=$I22+3,+$Q22,"X")</x:f>
      </x:c>
      <x:c r="N22" s="156">
        <x:f>IF(N$14&lt;=$I22+3,+$Q22,"X")</x:f>
      </x:c>
      <x:c r="O22" s="156">
        <x:f>IF(O$14&lt;=$I22+3,+$Q22,"X")</x:f>
      </x:c>
      <x:c r="P22" s="115">
        <x:f>IF(P$14&lt;=$I22+3,+$Q22,"X")</x:f>
      </x:c>
      <x:c r="Q22" s="155"/>
      <x:c r="R22" s="44" t="s">
        <x:v>104</x:v>
      </x:c>
    </x:row>
    <x:row r="23" spans="1:25" s="24" customFormat="1">
      <x:c r="B23" s="36" t="s">
        <x:v>105</x:v>
      </x:c>
      <x:c r="C23" s="42">
        <x:v>0.641</x:v>
      </x:c>
      <x:c r="D23" s="78">
        <x:v>0.085</x:v>
      </x:c>
      <x:c r="E23" s="43">
        <x:f>SQRT(C23^2+D23^2)</x:f>
      </x:c>
      <x:c r="F23" s="42">
        <x:f>+C23*Q23/1000</x:f>
      </x:c>
      <x:c r="G23" s="78">
        <x:f>+Q23*D23/1000</x:f>
      </x:c>
      <x:c r="H23" s="43"/>
      <x:c r="I23" s="103">
        <x:v>144</x:v>
      </x:c>
      <x:c r="J23" s="113">
        <x:f>IF(J$14&lt;=$I23+3,+$Q23,"X")</x:f>
      </x:c>
      <x:c r="K23" s="156">
        <x:f>IF(K$14&lt;=$I23+3,+$Q23,"X")</x:f>
      </x:c>
      <x:c r="L23" s="156">
        <x:f>IF(L$14&lt;=$I23+3,+$Q23,"X")</x:f>
      </x:c>
      <x:c r="M23" s="156">
        <x:f>IF(M$14&lt;=$I23+3,+$Q23,"X")</x:f>
      </x:c>
      <x:c r="N23" s="156">
        <x:f>IF(N$14&lt;=$I23+3,+$Q23,"X")</x:f>
      </x:c>
      <x:c r="O23" s="156">
        <x:f>IF(O$14&lt;=$I23+3,+$Q23,"X")</x:f>
      </x:c>
      <x:c r="P23" s="115">
        <x:f>IF(P$14&lt;=$I23+3,+$Q23,"X")</x:f>
      </x:c>
      <x:c r="Q23" s="155"/>
      <x:c r="R23" s="44" t="s">
        <x:v>105</x:v>
      </x:c>
    </x:row>
    <x:row r="24" spans="1:25" s="24" customFormat="1">
      <x:c r="B24" s="36" t="s">
        <x:v>106</x:v>
      </x:c>
      <x:c r="C24" s="42">
        <x:v>0.868</x:v>
      </x:c>
      <x:c r="D24" s="78">
        <x:v>0.101</x:v>
      </x:c>
      <x:c r="E24" s="43">
        <x:f>SQRT(C24^2+D24^2)</x:f>
      </x:c>
      <x:c r="F24" s="42">
        <x:f>+C24*Q24/1000</x:f>
      </x:c>
      <x:c r="G24" s="78">
        <x:f>+Q24*D24/1000</x:f>
      </x:c>
      <x:c r="H24" s="43"/>
      <x:c r="I24" s="103">
        <x:v>120</x:v>
      </x:c>
      <x:c r="J24" s="113">
        <x:f>IF(J$14&lt;=$I24+3,+$Q24,"X")</x:f>
      </x:c>
      <x:c r="K24" s="156">
        <x:f>IF(K$14&lt;=$I24+3,+$Q24,"X")</x:f>
      </x:c>
      <x:c r="L24" s="156">
        <x:f>IF(L$14&lt;=$I24+3,+$Q24,"X")</x:f>
      </x:c>
      <x:c r="M24" s="156">
        <x:f>IF(M$14&lt;=$I24+3,+$Q24,"X")</x:f>
      </x:c>
      <x:c r="N24" s="156">
        <x:f>IF(N$14&lt;=$I24+3,+$Q24,"X")</x:f>
      </x:c>
      <x:c r="O24" s="156">
        <x:f>IF(O$14&lt;=$I24+3,+$Q24,"X")</x:f>
      </x:c>
      <x:c r="P24" s="115">
        <x:f>IF(P$14&lt;=$I24+3,+$Q24,"X")</x:f>
      </x:c>
      <x:c r="Q24" s="155"/>
      <x:c r="R24" s="44" t="s">
        <x:v>106</x:v>
      </x:c>
    </x:row>
    <x:row r="25" spans="1:25" s="24" customFormat="1">
      <x:c r="B25" s="36" t="s">
        <x:v>107</x:v>
      </x:c>
      <x:c r="C25" s="42">
        <x:v>1.2</x:v>
      </x:c>
      <x:c r="D25" s="78">
        <x:v>0.094</x:v>
      </x:c>
      <x:c r="E25" s="43">
        <x:f>SQRT(C25^2+D25^2)</x:f>
      </x:c>
      <x:c r="F25" s="42">
        <x:f>+C25*Q25/1000</x:f>
      </x:c>
      <x:c r="G25" s="78">
        <x:f>+Q25*D25/1000</x:f>
      </x:c>
      <x:c r="H25" s="43"/>
      <x:c r="I25" s="103">
        <x:v>100</x:v>
      </x:c>
      <x:c r="J25" s="113">
        <x:f>IF(J$14&lt;=$I25+3,+$Q25,"X")</x:f>
      </x:c>
      <x:c r="K25" s="156">
        <x:f>IF(K$14&lt;=$I25+3,+$Q25,"X")</x:f>
      </x:c>
      <x:c r="L25" s="156">
        <x:f>IF(L$14&lt;=$I25+3,+$Q25,"X")</x:f>
      </x:c>
      <x:c r="M25" s="156">
        <x:f>IF(M$14&lt;=$I25+3,+$Q25,"X")</x:f>
      </x:c>
      <x:c r="N25" s="156">
        <x:f>IF(N$14&lt;=$I25+3,+$Q25,"X")</x:f>
      </x:c>
      <x:c r="O25" s="156">
        <x:f>IF(O$14&lt;=$I25+3,+$Q25,"X")</x:f>
      </x:c>
      <x:c r="P25" s="115">
        <x:f>IF(P$14&lt;=$I25+3,+$Q25,"X")</x:f>
      </x:c>
      <x:c r="Q25" s="155"/>
      <x:c r="R25" s="44" t="s">
        <x:v>107</x:v>
      </x:c>
    </x:row>
    <x:row r="26" spans="1:25" s="24" customFormat="1">
      <x:c r="B26" s="36" t="s">
        <x:v>108</x:v>
      </x:c>
      <x:c r="C26" s="42">
        <x:v>1.91</x:v>
      </x:c>
      <x:c r="D26" s="78">
        <x:v>0.096</x:v>
      </x:c>
      <x:c r="E26" s="43">
        <x:f>SQRT(C26^2+D26^2)</x:f>
      </x:c>
      <x:c r="F26" s="42">
        <x:f>+C26*Q26/1000</x:f>
      </x:c>
      <x:c r="G26" s="78">
        <x:f>+Q26*D26/1000</x:f>
      </x:c>
      <x:c r="H26" s="43"/>
      <x:c r="I26" s="103">
        <x:v>78</x:v>
      </x:c>
      <x:c r="J26" s="113">
        <x:f>IF(J$14&lt;=$I26+3,+$Q26,"X")</x:f>
      </x:c>
      <x:c r="K26" s="156">
        <x:f>IF(K$14&lt;=$I26+3,+$Q26,"X")</x:f>
      </x:c>
      <x:c r="L26" s="156">
        <x:f>IF(L$14&lt;=$I26+3,+$Q26,"X")</x:f>
      </x:c>
      <x:c r="M26" s="156">
        <x:f>IF(M$14&lt;=$I26+3,+$Q26,"X")</x:f>
      </x:c>
      <x:c r="N26" s="156">
        <x:f>IF(N$14&lt;=$I26+3,+$Q26,"X")</x:f>
      </x:c>
      <x:c r="O26" s="156">
        <x:f>IF(O$14&lt;=$I26+3,+$Q26,"X")</x:f>
      </x:c>
      <x:c r="P26" s="115">
        <x:f>IF(P$14&lt;=$I26+3,+$Q26,"X")</x:f>
      </x:c>
      <x:c r="Q26" s="155"/>
      <x:c r="R26" s="44" t="s">
        <x:v>108</x:v>
      </x:c>
    </x:row>
    <x:row r="27" spans="1:25" s="24" customFormat="1">
      <x:c r="B27" s="36"/>
      <x:c r="C27" s="42"/>
      <x:c r="D27" s="78"/>
      <x:c r="E27" s="43"/>
      <x:c r="F27" s="42"/>
      <x:c r="G27" s="78"/>
      <x:c r="H27" s="43"/>
      <x:c r="I27" s="103"/>
      <x:c r="J27" s="113"/>
      <x:c r="K27" s="156"/>
      <x:c r="L27" s="158"/>
      <x:c r="M27" s="158"/>
      <x:c r="N27" s="158"/>
      <x:c r="O27" s="158"/>
      <x:c r="P27" s="117"/>
      <x:c r="Q27" s="155"/>
      <x:c r="R27" s="44"/>
    </x:row>
    <x:row r="28" spans="1:25" s="24" customFormat="1">
      <x:c r="B28" s="36" t="s">
        <x:v>109</x:v>
      </x:c>
      <x:c r="C28" s="42">
        <x:v>0.107</x:v>
      </x:c>
      <x:c r="D28" s="78">
        <x:v>0.068</x:v>
      </x:c>
      <x:c r="E28" s="43">
        <x:f>SQRT(C28^2+D28^2)</x:f>
      </x:c>
      <x:c r="F28" s="42">
        <x:f>+C28*Q28/1000</x:f>
      </x:c>
      <x:c r="G28" s="78">
        <x:f>+Q28*D28/1000</x:f>
      </x:c>
      <x:c r="H28" s="43"/>
      <x:c r="I28" s="103">
        <x:v>393</x:v>
      </x:c>
      <x:c r="J28" s="113">
        <x:f>IF(J$14&lt;=$I28+3,+$Q28,"X")</x:f>
      </x:c>
      <x:c r="K28" s="156">
        <x:f>IF(K$14&lt;=$I28+3,+$Q28,"X")</x:f>
      </x:c>
      <x:c r="L28" s="156">
        <x:f>IF(L$14&lt;=$I28+3,+$Q28,"X")</x:f>
      </x:c>
      <x:c r="M28" s="156">
        <x:f>IF(M$14&lt;=$I28+3,+$Q28,"X")</x:f>
      </x:c>
      <x:c r="N28" s="156">
        <x:f>IF(N$14&lt;=$I28+3,+$Q28,"X")</x:f>
      </x:c>
      <x:c r="O28" s="156">
        <x:f>IF(O$14&lt;=$I28+3,+$Q28,"X")</x:f>
      </x:c>
      <x:c r="P28" s="115">
        <x:f>IF(P$14&lt;=$I28+3,+$Q28,"X")</x:f>
      </x:c>
      <x:c r="Q28" s="155"/>
      <x:c r="R28" s="44" t="s">
        <x:v>109</x:v>
      </x:c>
    </x:row>
    <x:row r="29" spans="1:25" s="24" customFormat="1">
      <x:c r="B29" s="36" t="s">
        <x:v>110</x:v>
      </x:c>
      <x:c r="C29" s="42">
        <x:v>0.125</x:v>
      </x:c>
      <x:c r="D29" s="78">
        <x:v>0.068</x:v>
      </x:c>
      <x:c r="E29" s="43">
        <x:f>SQRT(C29^2+D29^2)</x:f>
      </x:c>
      <x:c r="F29" s="42">
        <x:f>+C29*Q29/1000</x:f>
      </x:c>
      <x:c r="G29" s="78">
        <x:f>+Q29*D29/1000</x:f>
      </x:c>
      <x:c r="H29" s="43"/>
      <x:c r="I29" s="103">
        <x:v>348</x:v>
      </x:c>
      <x:c r="J29" s="113">
        <x:f>IF(J$14&lt;=$I29+3,+$Q29,"X")</x:f>
      </x:c>
      <x:c r="K29" s="156">
        <x:f>IF(K$14&lt;=$I29+3,+$Q29,"X")</x:f>
      </x:c>
      <x:c r="L29" s="156">
        <x:f>IF(L$14&lt;=$I29+3,+$Q29,"X")</x:f>
      </x:c>
      <x:c r="M29" s="156">
        <x:f>IF(M$14&lt;=$I29+3,+$Q29,"X")</x:f>
      </x:c>
      <x:c r="N29" s="156">
        <x:f>IF(N$14&lt;=$I29+3,+$Q29,"X")</x:f>
      </x:c>
      <x:c r="O29" s="156">
        <x:f>IF(O$14&lt;=$I29+3,+$Q29,"X")</x:f>
      </x:c>
      <x:c r="P29" s="115">
        <x:f>IF(P$14&lt;=$I29+3,+$Q29,"X")</x:f>
      </x:c>
      <x:c r="Q29" s="155"/>
      <x:c r="R29" s="44" t="s">
        <x:v>110</x:v>
      </x:c>
    </x:row>
    <x:row r="30" spans="1:25" s="24" customFormat="1">
      <x:c r="B30" s="36" t="s">
        <x:v>111</x:v>
      </x:c>
      <x:c r="C30" s="42">
        <x:v>0.152</x:v>
      </x:c>
      <x:c r="D30" s="78">
        <x:v>0.069</x:v>
      </x:c>
      <x:c r="E30" s="43">
        <x:v>0.16692812824686</x:v>
      </x:c>
      <x:c r="F30" s="42">
        <x:f>+C30*Q30/1000</x:f>
      </x:c>
      <x:c r="G30" s="78">
        <x:f>+Q30*D30/1000</x:f>
      </x:c>
      <x:c r="H30" s="43"/>
      <x:c r="I30" s="103">
        <x:v>307</x:v>
      </x:c>
      <x:c r="J30" s="113">
        <x:f>IF(J$14&lt;=$I30+3,+$Q30,"X")</x:f>
      </x:c>
      <x:c r="K30" s="156">
        <x:f>IF(K$14&lt;=$I30+3,+$Q30,"X")</x:f>
      </x:c>
      <x:c r="L30" s="156">
        <x:f>IF(L$14&lt;=$I30+3,+$Q30,"X")</x:f>
      </x:c>
      <x:c r="M30" s="156">
        <x:f>IF(M$14&lt;=$I30+3,+$Q30,"X")</x:f>
      </x:c>
      <x:c r="N30" s="156">
        <x:f>IF(N$14&lt;=$I30+3,+$Q30,"X")</x:f>
      </x:c>
      <x:c r="O30" s="156">
        <x:f>IF(O$14&lt;=$I30+3,+$Q30,"X")</x:f>
      </x:c>
      <x:c r="P30" s="115">
        <x:f>IF(P$14&lt;=$I30+3,+$Q30,"X")</x:f>
      </x:c>
      <x:c r="Q30" s="155"/>
      <x:c r="R30" s="44" t="s">
        <x:v>111</x:v>
      </x:c>
    </x:row>
    <x:row r="31" spans="1:25" s="24" customFormat="1">
      <x:c r="B31" s="36" t="s">
        <x:v>112</x:v>
      </x:c>
      <x:c r="C31" s="42">
        <x:v>0.194</x:v>
      </x:c>
      <x:c r="D31" s="78">
        <x:v>0.069</x:v>
      </x:c>
      <x:c r="E31" s="43">
        <x:f>SQRT(C31^2+D31^2)</x:f>
      </x:c>
      <x:c r="F31" s="42">
        <x:f>+C31*Q31/1000</x:f>
      </x:c>
      <x:c r="G31" s="78">
        <x:f>+Q31*D31/1000</x:f>
      </x:c>
      <x:c r="H31" s="43"/>
      <x:c r="I31" s="103">
        <x:v>272</x:v>
      </x:c>
      <x:c r="J31" s="113">
        <x:f>IF(J$14&lt;=$I31+3,+$Q31,"X")</x:f>
      </x:c>
      <x:c r="K31" s="156">
        <x:f>IF(K$14&lt;=$I31+3,+$Q31,"X")</x:f>
      </x:c>
      <x:c r="L31" s="156">
        <x:f>IF(L$14&lt;=$I31+3,+$Q31,"X")</x:f>
      </x:c>
      <x:c r="M31" s="156">
        <x:f>IF(M$14&lt;=$I31+3,+$Q31,"X")</x:f>
      </x:c>
      <x:c r="N31" s="156">
        <x:f>IF(N$14&lt;=$I31+3,+$Q31,"X")</x:f>
      </x:c>
      <x:c r="O31" s="156">
        <x:f>IF(O$14&lt;=$I31+3,+$Q31,"X")</x:f>
      </x:c>
      <x:c r="P31" s="115">
        <x:f>IF(P$14&lt;=$I31+3,+$Q31,"X")</x:f>
      </x:c>
      <x:c r="Q31" s="155"/>
      <x:c r="R31" s="44" t="s">
        <x:v>112</x:v>
      </x:c>
    </x:row>
    <x:row r="32" spans="1:25" s="24" customFormat="1">
      <x:c r="B32" s="36" t="s">
        <x:v>113</x:v>
      </x:c>
      <x:c r="C32" s="42">
        <x:v>0.268</x:v>
      </x:c>
      <x:c r="D32" s="78">
        <x:v>0.072</x:v>
      </x:c>
      <x:c r="E32" s="43">
        <x:f>SQRT(C32^2+D32^2)</x:f>
      </x:c>
      <x:c r="F32" s="42">
        <x:f>+C32*Q32/1000</x:f>
      </x:c>
      <x:c r="G32" s="78">
        <x:f>+Q32*D32/1000</x:f>
      </x:c>
      <x:c r="H32" s="43"/>
      <x:c r="I32" s="103">
        <x:v>227</x:v>
      </x:c>
      <x:c r="J32" s="113">
        <x:f>IF(J$14&lt;=$I32+3,+$Q32,"X")</x:f>
      </x:c>
      <x:c r="K32" s="156">
        <x:f>IF(K$14&lt;=$I32+3,+$Q32,"X")</x:f>
      </x:c>
      <x:c r="L32" s="156">
        <x:f>IF(L$14&lt;=$I32+3,+$Q32,"X")</x:f>
      </x:c>
      <x:c r="M32" s="156">
        <x:f>IF(M$14&lt;=$I32+3,+$Q32,"X")</x:f>
      </x:c>
      <x:c r="N32" s="156">
        <x:f>IF(N$14&lt;=$I32+3,+$Q32,"X")</x:f>
      </x:c>
      <x:c r="O32" s="156">
        <x:f>IF(O$14&lt;=$I32+3,+$Q32,"X")</x:f>
      </x:c>
      <x:c r="P32" s="115">
        <x:f>IF(P$14&lt;=$I32+3,+$Q32,"X")</x:f>
      </x:c>
      <x:c r="Q32" s="155"/>
      <x:c r="R32" s="44" t="s">
        <x:v>113</x:v>
      </x:c>
    </x:row>
    <x:row r="33" spans="1:25" s="24" customFormat="1">
      <x:c r="B33" s="36" t="s">
        <x:v>114</x:v>
      </x:c>
      <x:c r="C33" s="42">
        <x:v>0.387</x:v>
      </x:c>
      <x:c r="D33" s="78">
        <x:v>0.085</x:v>
      </x:c>
      <x:c r="E33" s="43">
        <x:f>SQRT(C33^2+D33^2)</x:f>
      </x:c>
      <x:c r="F33" s="42">
        <x:f>+C33*Q33/1000</x:f>
      </x:c>
      <x:c r="G33" s="78">
        <x:f>+Q33*D33/1000</x:f>
      </x:c>
      <x:c r="H33" s="43"/>
      <x:c r="I33" s="103">
        <x:v>182</x:v>
      </x:c>
      <x:c r="J33" s="113">
        <x:f>IF(J$14&lt;=$I33+3,+$Q33,"X")</x:f>
      </x:c>
      <x:c r="K33" s="156">
        <x:f>IF(K$14&lt;=$I33+3,+$Q33,"X")</x:f>
      </x:c>
      <x:c r="L33" s="156">
        <x:f>IF(L$14&lt;=$I33+3,+$Q33,"X")</x:f>
      </x:c>
      <x:c r="M33" s="156">
        <x:f>IF(M$14&lt;=$I33+3,+$Q33,"X")</x:f>
      </x:c>
      <x:c r="N33" s="156">
        <x:f>IF(N$14&lt;=$I33+3,+$Q33,"X")</x:f>
      </x:c>
      <x:c r="O33" s="156">
        <x:f>IF(O$14&lt;=$I33+3,+$Q33,"X")</x:f>
      </x:c>
      <x:c r="P33" s="115">
        <x:f>IF(P$14&lt;=$I33+3,+$Q33,"X")</x:f>
      </x:c>
      <x:c r="Q33" s="155"/>
      <x:c r="R33" s="44" t="s">
        <x:v>114</x:v>
      </x:c>
    </x:row>
    <x:row r="34" spans="1:25" s="24" customFormat="1">
      <x:c r="B34" s="36" t="s">
        <x:v>115</x:v>
      </x:c>
      <x:c r="C34" s="42">
        <x:v>0.524</x:v>
      </x:c>
      <x:c r="D34" s="78">
        <x:v>0.1</x:v>
      </x:c>
      <x:c r="E34" s="43">
        <x:f>SQRT(C34^2+D34^2)</x:f>
      </x:c>
      <x:c r="F34" s="42">
        <x:f>+C34*Q34/1000</x:f>
      </x:c>
      <x:c r="G34" s="78">
        <x:f>+Q34*D34/1000</x:f>
      </x:c>
      <x:c r="H34" s="43"/>
      <x:c r="I34" s="103">
        <x:v>154</x:v>
      </x:c>
      <x:c r="J34" s="113">
        <x:f>IF(J$14&lt;=$I34+3,+$Q34,"X")</x:f>
      </x:c>
      <x:c r="K34" s="156">
        <x:f>IF(K$14&lt;=$I34+3,+$Q34,"X")</x:f>
      </x:c>
      <x:c r="L34" s="156">
        <x:f>IF(L$14&lt;=$I34+3,+$Q34,"X")</x:f>
      </x:c>
      <x:c r="M34" s="156">
        <x:f>IF(M$14&lt;=$I34+3,+$Q34,"X")</x:f>
      </x:c>
      <x:c r="N34" s="156">
        <x:f>IF(N$14&lt;=$I34+3,+$Q34,"X")</x:f>
      </x:c>
      <x:c r="O34" s="156">
        <x:f>IF(O$14&lt;=$I34+3,+$Q34,"X")</x:f>
      </x:c>
      <x:c r="P34" s="115">
        <x:f>IF(P$14&lt;=$I34+3,+$Q34,"X")</x:f>
      </x:c>
      <x:c r="Q34" s="155"/>
      <x:c r="R34" s="44" t="s">
        <x:v>115</x:v>
      </x:c>
    </x:row>
    <x:row r="35" spans="1:25" s="24" customFormat="1">
      <x:c r="B35" s="36" t="s">
        <x:v>116</x:v>
      </x:c>
      <x:c r="C35" s="42">
        <x:v>0.727</x:v>
      </x:c>
      <x:c r="D35" s="78">
        <x:v>0.094</x:v>
      </x:c>
      <x:c r="E35" s="43">
        <x:f>SQRT(C35^2+D35^2)</x:f>
      </x:c>
      <x:c r="F35" s="42">
        <x:f>+C35*Q35/1000</x:f>
      </x:c>
      <x:c r="G35" s="78">
        <x:f>+Q35*D35/1000</x:f>
      </x:c>
      <x:c r="H35" s="43"/>
      <x:c r="I35" s="103">
        <x:v>128</x:v>
      </x:c>
      <x:c r="J35" s="113">
        <x:f>IF(J$14&lt;=$I35+3,+$Q35,"X")</x:f>
      </x:c>
      <x:c r="K35" s="156">
        <x:f>IF(K$14&lt;=$I35+3,+$Q35,"X")</x:f>
      </x:c>
      <x:c r="L35" s="156">
        <x:f>IF(L$14&lt;=$I35+3,+$Q35,"X")</x:f>
      </x:c>
      <x:c r="M35" s="156">
        <x:f>IF(M$14&lt;=$I35+3,+$Q35,"X")</x:f>
      </x:c>
      <x:c r="N35" s="156">
        <x:f>IF(N$14&lt;=$I35+3,+$Q35,"X")</x:f>
      </x:c>
      <x:c r="O35" s="156">
        <x:f>IF(O$14&lt;=$I35+3,+$Q35,"X")</x:f>
      </x:c>
      <x:c r="P35" s="115">
        <x:f>IF(P$14&lt;=$I35+3,+$Q35,"X")</x:f>
      </x:c>
      <x:c r="Q35" s="155"/>
      <x:c r="R35" s="44" t="s">
        <x:v>116</x:v>
      </x:c>
    </x:row>
    <x:row r="36" spans="1:25" s="24" customFormat="1">
      <x:c r="B36" s="45" t="s">
        <x:v>117</x:v>
      </x:c>
      <x:c r="C36" s="46">
        <x:v>1.15</x:v>
      </x:c>
      <x:c r="D36" s="47">
        <x:v>0.097</x:v>
      </x:c>
      <x:c r="E36" s="48">
        <x:f>SQRT(C36^2+D36^2)</x:f>
      </x:c>
      <x:c r="F36" s="46">
        <x:f>+C36*Q36/1000</x:f>
      </x:c>
      <x:c r="G36" s="47">
        <x:f>+Q36*D36/1000</x:f>
      </x:c>
      <x:c r="H36" s="48"/>
      <x:c r="I36" s="104">
        <x:v>99</x:v>
      </x:c>
      <x:c r="J36" s="118">
        <x:f>IF(J$14&lt;=$I36+3,+$Q36,"X")</x:f>
      </x:c>
      <x:c r="K36" s="119">
        <x:f>IF(K$14&lt;=$I36+3,+$Q36,"X")</x:f>
      </x:c>
      <x:c r="L36" s="119">
        <x:f>IF(L$14&lt;=$I36+3,+$Q36,"X")</x:f>
      </x:c>
      <x:c r="M36" s="119">
        <x:f>IF(M$14&lt;=$I36+3,+$Q36,"X")</x:f>
      </x:c>
      <x:c r="N36" s="119">
        <x:f>IF(N$14&lt;=$I36+3,+$Q36,"X")</x:f>
      </x:c>
      <x:c r="O36" s="119">
        <x:f>IF(O$14&lt;=$I36+3,+$Q36,"X")</x:f>
      </x:c>
      <x:c r="P36" s="120">
        <x:f>IF(P$14&lt;=$I36+3,+$Q36,"X")</x:f>
      </x:c>
      <x:c r="Q36" s="155"/>
      <x:c r="R36" s="49" t="s">
        <x:v>117</x:v>
      </x:c>
    </x:row>
    <x:row r="37" spans="1:25">
      <x:c r="B37" s="50"/>
      <x:c r="I37" s="79"/>
      <x:c r="J37" s="3"/>
      <x:c r="K37" s="3"/>
      <x:c r="L37" s="3"/>
      <x:c r="M37" s="3"/>
      <x:c r="N37" s="3"/>
      <x:c r="O37" s="3"/>
      <x:c r="P37" s="109"/>
      <x:c r="R37" s="44"/>
    </x:row>
    <x:row r="38" spans="1:25">
      <x:c r="B38" s="159" t="s">
        <x:v>118</x:v>
      </x:c>
      <x:c r="C38" s="160"/>
      <x:c r="D38" s="160"/>
      <x:c r="E38" s="160"/>
      <x:c r="F38" s="161">
        <x:f>SUM(F18:F37)</x:f>
      </x:c>
      <x:c r="G38" s="161">
        <x:f>SUM(G18:G37)</x:f>
      </x:c>
      <x:c r="H38" s="161">
        <x:f>SQRT(F38^2+G38^2)</x:f>
      </x:c>
      <x:c r="I38" s="79"/>
      <x:c r="J38" s="3">
        <x:f>IF($H$38&lt;=J16,"OK","niet OK")</x:f>
      </x:c>
      <x:c r="K38" s="3">
        <x:f>IF($H$38&lt;=K16,"OK","niet OK")</x:f>
      </x:c>
      <x:c r="L38" s="3">
        <x:f>IF($H$38&lt;=L16,"OK","niet OK")</x:f>
      </x:c>
      <x:c r="M38" s="3">
        <x:f>IF($H$38&lt;=M16,"OK","niet OK")</x:f>
      </x:c>
      <x:c r="N38" s="3">
        <x:f>IF($H$38&lt;=N16,"OK","niet OK")</x:f>
      </x:c>
      <x:c r="O38" s="3">
        <x:f>IF($H$38&lt;=O16,"OK","niet OK")</x:f>
      </x:c>
      <x:c r="P38" s="3">
        <x:f>IF($H$38&lt;=P16,"OK","niet OK")</x:f>
      </x:c>
      <x:c r="Q38" s="162" t="s">
        <x:v>119</x:v>
      </x:c>
      <x:c r="R38" s="163"/>
    </x:row>
    <x:row r="39" spans="1:25">
      <x:c r="B39" s="50"/>
      <x:c r="I39" s="79"/>
      <x:c r="J39" s="3">
        <x:f>IF($H$38&lt;=J17,"OK","niet OK")</x:f>
      </x:c>
      <x:c r="K39" s="3">
        <x:f>IF($H$38&lt;=K17,"OK","niet OK")</x:f>
      </x:c>
      <x:c r="L39" s="3">
        <x:f>IF($H$38&lt;=L17,"OK","niet OK")</x:f>
      </x:c>
      <x:c r="M39" s="3">
        <x:f>IF($H$38&lt;=M17,"OK","niet OK")</x:f>
      </x:c>
      <x:c r="N39" s="3">
        <x:f>IF($H$38&lt;=N17,"OK","niet OK")</x:f>
      </x:c>
      <x:c r="O39" s="3">
        <x:f>IF($H$38&lt;=O17,"OK","niet OK")</x:f>
      </x:c>
      <x:c r="P39" s="109">
        <x:f>IF($H$38&lt;=P17,"OK","niet OK")</x:f>
      </x:c>
      <x:c r="Q39" s="162" t="s">
        <x:v>120</x:v>
      </x:c>
      <x:c r="R39" s="163"/>
    </x:row>
    <x:row r="40" spans="1:25">
      <x:c r="B40" s="50"/>
      <x:c r="C40" s="82"/>
      <x:c r="D40" s="82"/>
      <x:c r="E40" s="78"/>
      <x:c r="F40" s="78"/>
      <x:c r="G40" s="78"/>
      <x:c r="H40" s="78"/>
      <x:c r="I40" s="79"/>
      <x:c r="J40" s="3">
        <x:f>IF(AND(J47="OK",J48="OK",J49="OK",J50="OK",J51="OK",J52="OK",J53="OK",J54="OK",J55="OK",J56="OK",J57="OK",J58="OK",J59="OK",J60="OK",J61="OK",J62="OK",J63="OK"),"OK","niet OK")</x:f>
      </x:c>
      <x:c r="K40" s="3">
        <x:f>IF(AND(K47="OK",K48="OK",K49="OK",K50="OK",K51="OK",K52="OK",K53="OK",K54="OK",K55="OK",K56="OK",K57="OK",K58="OK",K59="OK",K60="OK",K61="OK",K62="OK",K63="OK"),"OK","niet OK")</x:f>
      </x:c>
      <x:c r="L40" s="3">
        <x:f>IF(AND(L47="OK",L48="OK",L49="OK",L50="OK",L51="OK",L52="OK",L53="OK",L54="OK",L55="OK",L56="OK",L57="OK",L58="OK",L59="OK",L60="OK",L61="OK",L62="OK",L63="OK"),"OK","niet OK")</x:f>
      </x:c>
      <x:c r="M40" s="3">
        <x:f>IF(AND(M47="OK",M48="OK",M49="OK",M50="OK",M51="OK",M52="OK",M53="OK",M54="OK",M55="OK",M56="OK",M57="OK",M58="OK",M59="OK",M60="OK",M61="OK",M62="OK",M63="OK"),"OK","niet OK")</x:f>
      </x:c>
      <x:c r="N40" s="3">
        <x:f>IF(AND(N47="OK",N48="OK",N49="OK",N50="OK",N51="OK",N52="OK",N53="OK",N54="OK",N55="OK",N56="OK",N57="OK",N58="OK",N59="OK",N60="OK",N61="OK",N62="OK",N63="OK"),"OK","niet OK")</x:f>
      </x:c>
      <x:c r="O40" s="3">
        <x:f>IF(AND(O47="OK",O48="OK",O49="OK",O50="OK",O51="OK",O52="OK",O53="OK",O54="OK",O55="OK",O56="OK",O57="OK",O58="OK",O59="OK",O60="OK",O61="OK",O62="OK",O63="OK"),"OK","niet OK")</x:f>
      </x:c>
      <x:c r="P40" s="109">
        <x:f>IF(AND(P47="OK",P48="OK",P49="OK",P50="OK",P51="OK",P52="OK",P53="OK",P54="OK",P55="OK",P56="OK",P57="OK",P58="OK",P59="OK",P60="OK",P61="OK",P62="OK",P63="OK"),"OK","niet OK")</x:f>
      </x:c>
      <x:c r="Q40" s="164" t="s">
        <x:v>121</x:v>
      </x:c>
      <x:c r="R40" s="165"/>
    </x:row>
    <x:row r="41" spans="1:25" ht="18.75" customHeight="1">
      <x:c r="B41" s="50"/>
      <x:c r="C41" s="82"/>
      <x:c r="D41" s="82"/>
      <x:c r="E41" s="78"/>
      <x:c r="F41" s="78"/>
      <x:c r="G41" s="78"/>
      <x:c r="H41" s="78"/>
      <x:c r="I41" s="79"/>
      <x:c r="J41" s="10">
        <x:f>IF(AND(J38="OK",J40="OK"),"JA","NEE")</x:f>
      </x:c>
      <x:c r="K41" s="10">
        <x:f>IF(AND(K38="OK",K40="OK"),"JA","NEE")</x:f>
      </x:c>
      <x:c r="L41" s="10">
        <x:f>IF(AND(L38="OK",L40="OK"),"JA","NEE")</x:f>
      </x:c>
      <x:c r="M41" s="10">
        <x:f>IF(AND(M38="OK",M40="OK"),"JA","NEE")</x:f>
      </x:c>
      <x:c r="N41" s="10">
        <x:f>IF(AND(N38="OK",N40="OK"),"JA","NEE")</x:f>
      </x:c>
      <x:c r="O41" s="10">
        <x:f>IF(AND(O38="OK",O40="OK"),"JA","NEE")</x:f>
      </x:c>
      <x:c r="P41" s="10">
        <x:f>IF(AND(P38="OK",P40="OK"),"JA","NEE")</x:f>
      </x:c>
      <x:c r="Q41" s="166" t="s">
        <x:v>123</x:v>
      </x:c>
      <x:c r="R41" s="167"/>
    </x:row>
    <x:row r="42" spans="1:25" ht="19.5" customHeight="1">
      <x:c r="B42" s="54"/>
      <x:c r="C42" s="55"/>
      <x:c r="D42" s="55"/>
      <x:c r="E42" s="55"/>
      <x:c r="F42" s="55"/>
      <x:c r="G42" s="55"/>
      <x:c r="H42" s="55"/>
      <x:c r="I42" s="83"/>
      <x:c r="J42" s="121">
        <x:f>IF(AND(J39="OK",J40="OK"),"JA","NEE")</x:f>
      </x:c>
      <x:c r="K42" s="121">
        <x:f>IF(AND(K39="OK",K40="OK"),"JA","NEE")</x:f>
      </x:c>
      <x:c r="L42" s="121">
        <x:f>IF(AND(L39="OK",L40="OK"),"JA","NEE")</x:f>
      </x:c>
      <x:c r="M42" s="121">
        <x:f>IF(AND(M39="OK",M40="OK"),"JA","NEE")</x:f>
      </x:c>
      <x:c r="N42" s="121">
        <x:f>IF(AND(N39="OK",N40="OK"),"JA","NEE")</x:f>
      </x:c>
      <x:c r="O42" s="121">
        <x:f>IF(AND(O39="OK",O40="OK"),"JA","NEE")</x:f>
      </x:c>
      <x:c r="P42" s="121">
        <x:f>IF(AND(P39="OK",P40="OK"),"JA","NEE")</x:f>
      </x:c>
      <x:c r="Q42" s="168" t="s">
        <x:v>124</x:v>
      </x:c>
      <x:c r="R42" s="169"/>
    </x:row>
    <x:row r="43" spans="1:25">
      <x:c r="J43" s="57"/>
      <x:c r="K43" s="57"/>
      <x:c r="L43" s="57"/>
      <x:c r="M43" s="57"/>
      <x:c r="N43" s="57"/>
      <x:c r="O43" s="57"/>
      <x:c r="P43" s="57"/>
      <x:c r="Q43" s="57"/>
      <x:c r="R43" s="57"/>
    </x:row>
    <x:row r="44" spans="1:25">
      <x:c r="J44" s="57"/>
      <x:c r="K44" s="57"/>
      <x:c r="L44" s="57"/>
      <x:c r="M44" s="57"/>
      <x:c r="N44" s="57"/>
      <x:c r="O44" s="57"/>
      <x:c r="P44" s="57"/>
      <x:c r="Q44" s="57"/>
      <x:c r="R44" s="57"/>
    </x:row>
    <x:row r="45" spans="1:25" hidden="1">
      <x:c r="J45" s="57"/>
      <x:c r="K45" s="57"/>
      <x:c r="L45" s="57"/>
      <x:c r="M45" s="57"/>
      <x:c r="N45" s="57"/>
      <x:c r="O45" s="57"/>
      <x:c r="P45" s="57"/>
      <x:c r="Q45" s="57"/>
      <x:c r="R45" s="57"/>
    </x:row>
    <x:row r="46" spans="1:25" hidden="1">
      <x:c r="J46" s="170"/>
      <x:c r="K46" s="170"/>
      <x:c r="L46" s="170" t="s">
        <x:v>122</x:v>
      </x:c>
      <x:c r="M46" s="170"/>
      <x:c r="N46" s="170"/>
      <x:c r="O46" s="170"/>
      <x:c r="P46" s="170"/>
    </x:row>
    <x:row r="47" spans="1:25" hidden="1">
      <x:c r="J47" s="171">
        <x:f>IF(OR(J18=$Q18,AND($Q18=0,J18="X")),"OK","niet OK")</x:f>
      </x:c>
      <x:c r="K47" s="171">
        <x:f>IF(OR(K18=$Q18,AND($Q18=0,K18="X")),"OK","niet OK")</x:f>
      </x:c>
      <x:c r="L47" s="171">
        <x:f>IF(OR(L18=$Q18,AND($Q18=0,L18="X")),"OK","niet OK")</x:f>
      </x:c>
      <x:c r="M47" s="171">
        <x:f>IF(OR(M18=$Q18,AND($Q18=0,M18="X")),"OK","niet OK")</x:f>
      </x:c>
      <x:c r="N47" s="171">
        <x:f>IF(OR(N18=$Q18,AND($Q18=0,N18="X")),"OK","niet OK")</x:f>
      </x:c>
      <x:c r="O47" s="171">
        <x:f>IF(OR(O18=$Q18,AND($Q18=0,O18="X")),"OK","niet OK")</x:f>
      </x:c>
      <x:c r="P47" s="171">
        <x:f>IF(OR(P18=$Q18,AND($Q18=0,P18="X")),"OK","niet OK")</x:f>
      </x:c>
    </x:row>
    <x:row r="48" spans="1:25" hidden="1">
      <x:c r="J48" s="171">
        <x:f>IF(OR(J19=$Q19,AND($Q19=0,J19="X")),"OK","niet OK")</x:f>
      </x:c>
      <x:c r="K48" s="171">
        <x:f>IF(OR(K19=$Q19,AND($Q19=0,K19="X")),"OK","niet OK")</x:f>
      </x:c>
      <x:c r="L48" s="171">
        <x:f>IF(OR(L19=$Q19,AND($Q19=0,L19="X")),"OK","niet OK")</x:f>
      </x:c>
      <x:c r="M48" s="171">
        <x:f>IF(OR(M19=$Q19,AND($Q19=0,M19="X")),"OK","niet OK")</x:f>
      </x:c>
      <x:c r="N48" s="171">
        <x:f>IF(OR(N19=$Q19,AND($Q19=0,N19="X")),"OK","niet OK")</x:f>
      </x:c>
      <x:c r="O48" s="171">
        <x:f>IF(OR(O19=$Q19,AND($Q19=0,O19="X")),"OK","niet OK")</x:f>
      </x:c>
      <x:c r="P48" s="171">
        <x:f>IF(OR(P19=$Q19,AND($Q19=0,P19="X")),"OK","niet OK")</x:f>
      </x:c>
    </x:row>
    <x:row r="49" spans="1:25" hidden="1">
      <x:c r="J49" s="171">
        <x:f>IF(OR(J20=$Q20,AND($Q20=0,J20="X")),"OK","niet OK")</x:f>
      </x:c>
      <x:c r="K49" s="171">
        <x:f>IF(OR(K20=$Q20,AND($Q20=0,K20="X")),"OK","niet OK")</x:f>
      </x:c>
      <x:c r="L49" s="171">
        <x:f>IF(OR(L20=$Q20,AND($Q20=0,L20="X")),"OK","niet OK")</x:f>
      </x:c>
      <x:c r="M49" s="171">
        <x:f>IF(OR(M20=$Q20,AND($Q20=0,M20="X")),"OK","niet OK")</x:f>
      </x:c>
      <x:c r="N49" s="171">
        <x:f>IF(OR(N20=$Q20,AND($Q20=0,N20="X")),"OK","niet OK")</x:f>
      </x:c>
      <x:c r="O49" s="171">
        <x:f>IF(OR(O20=$Q20,AND($Q20=0,O20="X")),"OK","niet OK")</x:f>
      </x:c>
      <x:c r="P49" s="171">
        <x:f>IF(OR(P20=$Q20,AND($Q20=0,P20="X")),"OK","niet OK")</x:f>
      </x:c>
    </x:row>
    <x:row r="50" spans="1:25" hidden="1">
      <x:c r="J50" s="171">
        <x:f>IF(OR(J21=$Q21,AND($Q21=0,J21="X")),"OK","niet OK")</x:f>
      </x:c>
      <x:c r="K50" s="171">
        <x:f>IF(OR(K21=$Q21,AND($Q21=0,K21="X")),"OK","niet OK")</x:f>
      </x:c>
      <x:c r="L50" s="171">
        <x:f>IF(OR(L21=$Q21,AND($Q21=0,L21="X")),"OK","niet OK")</x:f>
      </x:c>
      <x:c r="M50" s="171">
        <x:f>IF(OR(M21=$Q21,AND($Q21=0,M21="X")),"OK","niet OK")</x:f>
      </x:c>
      <x:c r="N50" s="171">
        <x:f>IF(OR(N21=$Q21,AND($Q21=0,N21="X")),"OK","niet OK")</x:f>
      </x:c>
      <x:c r="O50" s="171">
        <x:f>IF(OR(O21=$Q21,AND($Q21=0,O21="X")),"OK","niet OK")</x:f>
      </x:c>
      <x:c r="P50" s="171">
        <x:f>IF(OR(P21=$Q21,AND($Q21=0,P21="X")),"OK","niet OK")</x:f>
      </x:c>
    </x:row>
    <x:row r="51" spans="1:25" hidden="1">
      <x:c r="J51" s="171">
        <x:f>IF(OR(J22=$Q22,AND($Q22=0,J22="X")),"OK","niet OK")</x:f>
      </x:c>
      <x:c r="K51" s="171">
        <x:f>IF(OR(K22=$Q22,AND($Q22=0,K22="X")),"OK","niet OK")</x:f>
      </x:c>
      <x:c r="L51" s="171">
        <x:f>IF(OR(L22=$Q22,AND($Q22=0,L22="X")),"OK","niet OK")</x:f>
      </x:c>
      <x:c r="M51" s="171">
        <x:f>IF(OR(M22=$Q22,AND($Q22=0,M22="X")),"OK","niet OK")</x:f>
      </x:c>
      <x:c r="N51" s="171">
        <x:f>IF(OR(N22=$Q22,AND($Q22=0,N22="X")),"OK","niet OK")</x:f>
      </x:c>
      <x:c r="O51" s="171">
        <x:f>IF(OR(O22=$Q22,AND($Q22=0,O22="X")),"OK","niet OK")</x:f>
      </x:c>
      <x:c r="P51" s="171">
        <x:f>IF(OR(P22=$Q22,AND($Q22=0,P22="X")),"OK","niet OK")</x:f>
      </x:c>
    </x:row>
    <x:row r="52" spans="1:25" hidden="1">
      <x:c r="J52" s="171">
        <x:f>IF(OR(J23=$Q23,AND($Q23=0,J23="X")),"OK","niet OK")</x:f>
      </x:c>
      <x:c r="K52" s="171">
        <x:f>IF(OR(K23=$Q23,AND($Q23=0,K23="X")),"OK","niet OK")</x:f>
      </x:c>
      <x:c r="L52" s="171">
        <x:f>IF(OR(L23=$Q23,AND($Q23=0,L23="X")),"OK","niet OK")</x:f>
      </x:c>
      <x:c r="M52" s="171">
        <x:f>IF(OR(M23=$Q23,AND($Q23=0,M23="X")),"OK","niet OK")</x:f>
      </x:c>
      <x:c r="N52" s="171">
        <x:f>IF(OR(N23=$Q23,AND($Q23=0,N23="X")),"OK","niet OK")</x:f>
      </x:c>
      <x:c r="O52" s="171">
        <x:f>IF(OR(O23=$Q23,AND($Q23=0,O23="X")),"OK","niet OK")</x:f>
      </x:c>
      <x:c r="P52" s="171">
        <x:f>IF(OR(P23=$Q23,AND($Q23=0,P23="X")),"OK","niet OK")</x:f>
      </x:c>
    </x:row>
    <x:row r="53" spans="1:25" hidden="1">
      <x:c r="J53" s="171">
        <x:f>IF(OR(J24=$Q24,AND($Q24=0,J24="X")),"OK","niet OK")</x:f>
      </x:c>
      <x:c r="K53" s="171">
        <x:f>IF(OR(K24=$Q24,AND($Q24=0,K24="X")),"OK","niet OK")</x:f>
      </x:c>
      <x:c r="L53" s="171">
        <x:f>IF(OR(L24=$Q24,AND($Q24=0,L24="X")),"OK","niet OK")</x:f>
      </x:c>
      <x:c r="M53" s="171">
        <x:f>IF(OR(M24=$Q24,AND($Q24=0,M24="X")),"OK","niet OK")</x:f>
      </x:c>
      <x:c r="N53" s="171">
        <x:f>IF(OR(N24=$Q24,AND($Q24=0,N24="X")),"OK","niet OK")</x:f>
      </x:c>
      <x:c r="O53" s="171">
        <x:f>IF(OR(O24=$Q24,AND($Q24=0,O24="X")),"OK","niet OK")</x:f>
      </x:c>
      <x:c r="P53" s="171">
        <x:f>IF(OR(P24=$Q24,AND($Q24=0,P24="X")),"OK","niet OK")</x:f>
      </x:c>
    </x:row>
    <x:row r="54" spans="1:25" hidden="1">
      <x:c r="J54" s="171">
        <x:f>IF(OR(J25=$Q25,AND($Q25=0,J25="X")),"OK","niet OK")</x:f>
      </x:c>
      <x:c r="K54" s="171">
        <x:f>IF(OR(K25=$Q25,AND($Q25=0,K25="X")),"OK","niet OK")</x:f>
      </x:c>
      <x:c r="L54" s="171">
        <x:f>IF(OR(L25=$Q25,AND($Q25=0,L25="X")),"OK","niet OK")</x:f>
      </x:c>
      <x:c r="M54" s="171">
        <x:f>IF(OR(M25=$Q25,AND($Q25=0,M25="X")),"OK","niet OK")</x:f>
      </x:c>
      <x:c r="N54" s="171">
        <x:f>IF(OR(N25=$Q25,AND($Q25=0,N25="X")),"OK","niet OK")</x:f>
      </x:c>
      <x:c r="O54" s="171">
        <x:f>IF(OR(O25=$Q25,AND($Q25=0,O25="X")),"OK","niet OK")</x:f>
      </x:c>
      <x:c r="P54" s="171">
        <x:f>IF(OR(P25=$Q25,AND($Q25=0,P25="X")),"OK","niet OK")</x:f>
      </x:c>
    </x:row>
    <x:row r="55" spans="1:25" hidden="1">
      <x:c r="J55" s="171">
        <x:f>IF(OR(J26=$Q26,AND($Q26=0,J26="X")),"OK","niet OK")</x:f>
      </x:c>
      <x:c r="K55" s="171">
        <x:f>IF(OR(K26=$Q26,AND($Q26=0,K26="X")),"OK","niet OK")</x:f>
      </x:c>
      <x:c r="L55" s="171">
        <x:f>IF(OR(L26=$Q26,AND($Q26=0,L26="X")),"OK","niet OK")</x:f>
      </x:c>
      <x:c r="M55" s="171">
        <x:f>IF(OR(M26=$Q26,AND($Q26=0,M26="X")),"OK","niet OK")</x:f>
      </x:c>
      <x:c r="N55" s="171">
        <x:f>IF(OR(N26=$Q26,AND($Q26=0,N26="X")),"OK","niet OK")</x:f>
      </x:c>
      <x:c r="O55" s="171">
        <x:f>IF(OR(O26=$Q26,AND($Q26=0,O26="X")),"OK","niet OK")</x:f>
      </x:c>
      <x:c r="P55" s="171">
        <x:f>IF(OR(P26=$Q26,AND($Q26=0,P26="X")),"OK","niet OK")</x:f>
      </x:c>
    </x:row>
    <x:row r="56" spans="1:25" hidden="1">
      <x:c r="J56" s="171">
        <x:f>IF(OR(J28=$Q28,AND($Q28=0,J28="X")),"OK","niet OK")</x:f>
      </x:c>
      <x:c r="K56" s="171">
        <x:f>IF(OR(K28=$Q28,AND($Q28=0,K28="X")),"OK","niet OK")</x:f>
      </x:c>
      <x:c r="L56" s="171">
        <x:f>IF(OR(L28=$Q28,AND($Q28=0,L28="X")),"OK","niet OK")</x:f>
      </x:c>
      <x:c r="M56" s="171">
        <x:f>IF(OR(M28=$Q28,AND($Q28=0,M28="X")),"OK","niet OK")</x:f>
      </x:c>
      <x:c r="N56" s="171">
        <x:f>IF(OR(N28=$Q28,AND($Q28=0,N28="X")),"OK","niet OK")</x:f>
      </x:c>
      <x:c r="O56" s="171">
        <x:f>IF(OR(O28=$Q28,AND($Q28=0,O28="X")),"OK","niet OK")</x:f>
      </x:c>
      <x:c r="P56" s="171">
        <x:f>IF(OR(P28=$Q28,AND($Q28=0,P28="X")),"OK","niet OK")</x:f>
      </x:c>
    </x:row>
    <x:row r="57" spans="1:25" hidden="1">
      <x:c r="J57" s="171">
        <x:f>IF(OR(J29=$Q29,AND($Q29=0,J29="X")),"OK","niet OK")</x:f>
      </x:c>
      <x:c r="K57" s="171">
        <x:f>IF(OR(K29=$Q29,AND($Q29=0,K29="X")),"OK","niet OK")</x:f>
      </x:c>
      <x:c r="L57" s="171">
        <x:f>IF(OR(L29=$Q29,AND($Q29=0,L29="X")),"OK","niet OK")</x:f>
      </x:c>
      <x:c r="M57" s="171">
        <x:f>IF(OR(M29=$Q29,AND($Q29=0,M29="X")),"OK","niet OK")</x:f>
      </x:c>
      <x:c r="N57" s="171">
        <x:f>IF(OR(N29=$Q29,AND($Q29=0,N29="X")),"OK","niet OK")</x:f>
      </x:c>
      <x:c r="O57" s="171">
        <x:f>IF(OR(O29=$Q29,AND($Q29=0,O29="X")),"OK","niet OK")</x:f>
      </x:c>
      <x:c r="P57" s="171">
        <x:f>IF(OR(P29=$Q29,AND($Q29=0,P29="X")),"OK","niet OK")</x:f>
      </x:c>
    </x:row>
    <x:row r="58" spans="1:25" hidden="1">
      <x:c r="J58" s="171">
        <x:f>IF(OR(J31=$Q31,AND($Q31=0,J31="X")),"OK","niet OK")</x:f>
      </x:c>
      <x:c r="K58" s="171">
        <x:f>IF(OR(K31=$Q31,AND($Q31=0,K31="X")),"OK","niet OK")</x:f>
      </x:c>
      <x:c r="L58" s="171">
        <x:f>IF(OR(L31=$Q31,AND($Q31=0,L31="X")),"OK","niet OK")</x:f>
      </x:c>
      <x:c r="M58" s="171">
        <x:f>IF(OR(M31=$Q31,AND($Q31=0,M31="X")),"OK","niet OK")</x:f>
      </x:c>
      <x:c r="N58" s="171">
        <x:f>IF(OR(N31=$Q31,AND($Q31=0,N31="X")),"OK","niet OK")</x:f>
      </x:c>
      <x:c r="O58" s="171">
        <x:f>IF(OR(O31=$Q31,AND($Q31=0,O31="X")),"OK","niet OK")</x:f>
      </x:c>
      <x:c r="P58" s="171">
        <x:f>IF(OR(P31=$Q31,AND($Q31=0,P31="X")),"OK","niet OK")</x:f>
      </x:c>
    </x:row>
    <x:row r="59" spans="1:25" hidden="1">
      <x:c r="J59" s="171">
        <x:f>IF(OR(J32=$Q32,AND($Q32=0,J32="X")),"OK","niet OK")</x:f>
      </x:c>
      <x:c r="K59" s="171">
        <x:f>IF(OR(K32=$Q32,AND($Q32=0,K32="X")),"OK","niet OK")</x:f>
      </x:c>
      <x:c r="L59" s="171">
        <x:f>IF(OR(L32=$Q32,AND($Q32=0,L32="X")),"OK","niet OK")</x:f>
      </x:c>
      <x:c r="M59" s="171">
        <x:f>IF(OR(M32=$Q32,AND($Q32=0,M32="X")),"OK","niet OK")</x:f>
      </x:c>
      <x:c r="N59" s="171">
        <x:f>IF(OR(N32=$Q32,AND($Q32=0,N32="X")),"OK","niet OK")</x:f>
      </x:c>
      <x:c r="O59" s="171">
        <x:f>IF(OR(O32=$Q32,AND($Q32=0,O32="X")),"OK","niet OK")</x:f>
      </x:c>
      <x:c r="P59" s="171">
        <x:f>IF(OR(P32=$Q32,AND($Q32=0,P32="X")),"OK","niet OK")</x:f>
      </x:c>
    </x:row>
    <x:row r="60" spans="1:25" hidden="1">
      <x:c r="J60" s="171">
        <x:f>IF(OR(J33=$Q33,AND($Q33=0,J33="X")),"OK","niet OK")</x:f>
      </x:c>
      <x:c r="K60" s="171">
        <x:f>IF(OR(K33=$Q33,AND($Q33=0,K33="X")),"OK","niet OK")</x:f>
      </x:c>
      <x:c r="L60" s="171">
        <x:f>IF(OR(L33=$Q33,AND($Q33=0,L33="X")),"OK","niet OK")</x:f>
      </x:c>
      <x:c r="M60" s="171">
        <x:f>IF(OR(M33=$Q33,AND($Q33=0,M33="X")),"OK","niet OK")</x:f>
      </x:c>
      <x:c r="N60" s="171">
        <x:f>IF(OR(N33=$Q33,AND($Q33=0,N33="X")),"OK","niet OK")</x:f>
      </x:c>
      <x:c r="O60" s="171">
        <x:f>IF(OR(O33=$Q33,AND($Q33=0,O33="X")),"OK","niet OK")</x:f>
      </x:c>
      <x:c r="P60" s="171">
        <x:f>IF(OR(P33=$Q33,AND($Q33=0,P33="X")),"OK","niet OK")</x:f>
      </x:c>
    </x:row>
    <x:row r="61" spans="1:25" hidden="1">
      <x:c r="J61" s="171">
        <x:f>IF(OR(J34=$Q34,AND($Q34=0,J34="X")),"OK","niet OK")</x:f>
      </x:c>
      <x:c r="K61" s="171">
        <x:f>IF(OR(K34=$Q34,AND($Q34=0,K34="X")),"OK","niet OK")</x:f>
      </x:c>
      <x:c r="L61" s="171">
        <x:f>IF(OR(L34=$Q34,AND($Q34=0,L34="X")),"OK","niet OK")</x:f>
      </x:c>
      <x:c r="M61" s="171">
        <x:f>IF(OR(M34=$Q34,AND($Q34=0,M34="X")),"OK","niet OK")</x:f>
      </x:c>
      <x:c r="N61" s="171">
        <x:f>IF(OR(N34=$Q34,AND($Q34=0,N34="X")),"OK","niet OK")</x:f>
      </x:c>
      <x:c r="O61" s="171">
        <x:f>IF(OR(O34=$Q34,AND($Q34=0,O34="X")),"OK","niet OK")</x:f>
      </x:c>
      <x:c r="P61" s="171">
        <x:f>IF(OR(P34=$Q34,AND($Q34=0,P34="X")),"OK","niet OK")</x:f>
      </x:c>
    </x:row>
    <x:row r="62" spans="1:25" hidden="1">
      <x:c r="J62" s="171">
        <x:f>IF(OR(J35=$Q35,AND($Q35=0,J35="X")),"OK","niet OK")</x:f>
      </x:c>
      <x:c r="K62" s="171">
        <x:f>IF(OR(K35=$Q35,AND($Q35=0,K35="X")),"OK","niet OK")</x:f>
      </x:c>
      <x:c r="L62" s="171">
        <x:f>IF(OR(L35=$Q35,AND($Q35=0,L35="X")),"OK","niet OK")</x:f>
      </x:c>
      <x:c r="M62" s="171">
        <x:f>IF(OR(M35=$Q35,AND($Q35=0,M35="X")),"OK","niet OK")</x:f>
      </x:c>
      <x:c r="N62" s="171">
        <x:f>IF(OR(N35=$Q35,AND($Q35=0,N35="X")),"OK","niet OK")</x:f>
      </x:c>
      <x:c r="O62" s="171">
        <x:f>IF(OR(O35=$Q35,AND($Q35=0,O35="X")),"OK","niet OK")</x:f>
      </x:c>
      <x:c r="P62" s="171">
        <x:f>IF(OR(P35=$Q35,AND($Q35=0,P35="X")),"OK","niet OK")</x:f>
      </x:c>
    </x:row>
    <x:row r="63" spans="1:25" hidden="1">
      <x:c r="J63" s="171">
        <x:f>IF(OR(J36=$Q36,AND($Q36=0,J36="X")),"OK","niet OK")</x:f>
      </x:c>
      <x:c r="K63" s="171">
        <x:f>IF(OR(K36=$Q36,AND($Q36=0,K36="X")),"OK","niet OK")</x:f>
      </x:c>
      <x:c r="L63" s="171">
        <x:f>IF(OR(L36=$Q36,AND($Q36=0,L36="X")),"OK","niet OK")</x:f>
      </x:c>
      <x:c r="M63" s="171">
        <x:f>IF(OR(M36=$Q36,AND($Q36=0,M36="X")),"OK","niet OK")</x:f>
      </x:c>
      <x:c r="N63" s="171">
        <x:f>IF(OR(N36=$Q36,AND($Q36=0,N36="X")),"OK","niet OK")</x:f>
      </x:c>
      <x:c r="O63" s="171">
        <x:f>IF(OR(O36=$Q36,AND($Q36=0,O36="X")),"OK","niet OK")</x:f>
      </x:c>
      <x:c r="P63" s="171">
        <x:f>IF(OR(P36=$Q36,AND($Q36=0,P36="X")),"OK","niet OK")</x:f>
      </x:c>
    </x:row>
  </x:sheetData>
  <x:mergeCells count="2">
    <x:mergeCell ref="C14:E14"/>
    <x:mergeCell ref="F14:H14"/>
  </x:mergeCells>
  <x:conditionalFormatting sqref="J38:P40">
    <x:cfRule type="cellIs" dxfId="0" priority="1" operator="equal">
      <x:formula>"niet OK"</x:formula>
    </x:cfRule>
    <x:cfRule type="cellIs" dxfId="0" priority="4" operator="equal">
      <x:formula>"niet OK"</x:formula>
    </x:cfRule>
  </x:conditionalFormatting>
  <x:conditionalFormatting sqref="J41:P45 Q43:R45">
    <x:cfRule type="cellIs" dxfId="1" priority="2" operator="equal">
      <x:formula>"JA"</x:formula>
    </x:cfRule>
    <x:cfRule type="cellIs" dxfId="1" priority="3" operator="equal">
      <x:formula>"JA"</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21"/>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BBF638-D409-46A6-8A5F-F83BE5EA4B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d626e-6961-4186-8118-9b786d0b957a"/>
    <ds:schemaRef ds:uri="80a5ce49-ae3b-4e2d-9320-19c5acb94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AD76E-7AB8-455F-B965-403CB93D8ABA}">
  <ds:schemaRefs>
    <ds:schemaRef ds:uri="http://schemas.microsoft.com/sharepoint/v3/contenttype/forms"/>
  </ds:schemaRefs>
</ds:datastoreItem>
</file>

<file path=customXml/itemProps3.xml><?xml version="1.0" encoding="utf-8"?>
<ds:datastoreItem xmlns:ds="http://schemas.openxmlformats.org/officeDocument/2006/customXml" ds:itemID="{ECD74BE9-5C60-451C-B531-CF3FEAE0996C}">
  <ds:schemaRefs>
    <ds:schemaRef ds:uri="http://schemas.microsoft.com/office/2006/metadata/properties"/>
    <ds:schemaRef ds:uri="http://purl.org/dc/dcmitype/"/>
    <ds:schemaRef ds:uri="be2d626e-6961-4186-8118-9b786d0b957a"/>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purl.org/dc/elements/1.1/"/>
    <ds:schemaRef ds:uri="80a5ce49-ae3b-4e2d-9320-19c5acb9498b"/>
    <ds:schemaRef ds:uri="http://www.w3.org/XML/1998/namespace"/>
  </ds:schemaRefs>
</ds:datastoreItem>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6</vt:i4>
      </vt:variant>
      <vt:variant>
        <vt:lpstr>Named Ranges</vt:lpstr>
      </vt:variant>
      <vt:variant>
        <vt:i4>12</vt:i4>
      </vt:variant>
    </vt:vector>
  </ap:HeadingPairs>
  <ap:TitlesOfParts>
    <vt:vector baseType="lpstr" size="18">
      <vt:lpstr>Versie beheer</vt:lpstr>
      <vt:lpstr>Ontwerpstroom_trafo</vt:lpstr>
      <vt:lpstr>Ontwerpstroom_stijgleiding</vt:lpstr>
      <vt:lpstr>max lengte OVL kabels</vt:lpstr>
      <vt:lpstr>Ontwerpstroom_kabel R1</vt:lpstr>
      <vt:lpstr>Controle_evenredig R1</vt:lpstr>
      <vt:lpstr>Versie beheer!Print_Area</vt:lpstr>
      <vt:lpstr>Versie beheer!Print_Titles</vt:lpstr>
      <vt:lpstr>Ontwerpstroom_trafo!Print_Area</vt:lpstr>
      <vt:lpstr>Ontwerpstroom_trafo!Print_Titles</vt:lpstr>
      <vt:lpstr>Ontwerpstroom_stijgleiding!Print_Area</vt:lpstr>
      <vt:lpstr>Ontwerpstroom_stijgleiding!Print_Titles</vt:lpstr>
      <vt:lpstr>max lengte OVL kabels!Print_Area</vt:lpstr>
      <vt:lpstr>max lengte OVL kabels!Print_Titles</vt:lpstr>
      <vt:lpstr>Ontwerpstroom_kabel R1!Print_Area</vt:lpstr>
      <vt:lpstr>Ontwerpstroom_kabel R1!Print_Titles</vt:lpstr>
      <vt:lpstr>Controle_evenredig R1!Print_Area</vt:lpstr>
      <vt:lpstr>Controle_evenredig R1!Print_Titles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Excel bij "Ontwerpen met tabellen"</dc:title>
  <dc:subject/>
  <dc:creator>Hemrica, Ytzen</dc:creator>
  <keywords/>
  <dc:description/>
  <lastModifiedBy>Luka Stuurman | Techbase</lastModifiedBy>
  <revision/>
  <dcterms:created xsi:type="dcterms:W3CDTF">2019-02-20T12:23:12.0000000Z</dcterms:created>
  <dcterms:modified xsi:type="dcterms:W3CDTF">2026-08-19T07:38:18.0000000Z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0x010100912791E6A3D5DA43887C2DB260B05564</vt:lpwstr>
  </op:property>
  <op:property fmtid="{D5CDD505-2E9C-101B-9397-08002B2CF9AE}" pid="3" name="Order">
    <vt:r8>11020800</vt:r8>
  </op:property>
  <op:property fmtid="{D5CDD505-2E9C-101B-9397-08002B2CF9AE}" pid="4" name="xd_Signature">
    <vt:bool>false</vt:bool>
  </op:property>
  <op:property fmtid="{D5CDD505-2E9C-101B-9397-08002B2CF9AE}" pid="5" name="xd_ProgID">
    <vt:lpwstr/>
  </op:property>
  <op:property fmtid="{D5CDD505-2E9C-101B-9397-08002B2CF9AE}" pid="6" name="_ExtendedDescription">
    <vt:lpwstr/>
  </op:property>
  <op:property fmtid="{D5CDD505-2E9C-101B-9397-08002B2CF9AE}" pid="7" name="TriggerFlowInfo">
    <vt:lpwstr/>
  </op:property>
  <op:property fmtid="{D5CDD505-2E9C-101B-9397-08002B2CF9AE}" pid="8" name="ComplianceAssetId">
    <vt:lpwstr/>
  </op:property>
  <op:property fmtid="{D5CDD505-2E9C-101B-9397-08002B2CF9AE}" pid="9" name="TemplateUrl">
    <vt:lpwstr/>
  </op:property>
  <op:property fmtid="{D5CDD505-2E9C-101B-9397-08002B2CF9AE}" pid="10" name="MediaServiceImageTags">
    <vt:lpwstr/>
  </op:property>
  <op:property fmtid="{D5CDD505-2E9C-101B-9397-08002B2CF9AE}" pid="11" name="_dlc_DocIdItemGuid">
    <vt:lpwstr>ec5caf21-2130-4f36-a8f9-9d69581b8755</vt:lpwstr>
  </op:property>
  <op:property fmtid="{D5CDD505-2E9C-101B-9397-08002B2CF9AE}" pid="12" name="Afdeling">
    <vt:lpwstr>157;#NET- EN CAPACITEITSMGT LS ＆ MS|0fc86f4c-bd43-4b39-9941-c4c4108e5de8</vt:lpwstr>
  </op:property>
  <op:property fmtid="{D5CDD505-2E9C-101B-9397-08002B2CF9AE}" pid="13" name="Vertrouwelijkheidsniveau">
    <vt:lpwstr>32;#Intern|1a4597c7-8657-403e-a80d-ba1e21764213</vt:lpwstr>
  </op:property>
  <op:property fmtid="{D5CDD505-2E9C-101B-9397-08002B2CF9AE}" pid="14" name="kb14d46e0a7b48a89df21bde0f8c6db8">
    <vt:lpwstr/>
  </op:property>
  <op:property fmtid="{D5CDD505-2E9C-101B-9397-08002B2CF9AE}" pid="15" name="LinkenNaarDEN">
    <vt:lpwstr/>
  </op:property>
  <op:property fmtid="{D5CDD505-2E9C-101B-9397-08002B2CF9AE}" pid="16" name="Onderwerp">
    <vt:lpwstr>15;#Beleid|a88cb305-449a-4bb7-be3c-0db84378ade0;#43;#Ontwerp en Aanleg Infra|05424648-9258-44f9-b347-71717db44dce;#42;#Ontwerp en Aanleg Aansluitingen|cd4ba11c-e98a-42cc-aa7f-25b9ab100cec</vt:lpwstr>
  </op:property>
  <op:property fmtid="{D5CDD505-2E9C-101B-9397-08002B2CF9AE}" pid="17" name="e5d88dfa1e9045b9864e4fb43105ddfb">
    <vt:lpwstr>Transformatoren|c857c584-878b-4b09-9ee0-7e9ae8d3e7b8;Kabels/lijnen/verbindings- en aftakmaterialen|d4ecab75-5b03-44c1-8375-a5fb2e24732d;Beveiligingen|f1c7f332-3952-4d75-9f8d-4d53afb3c9dd;Installaties (samenstel van)|6898af8f-8be2-4635-98b7-0d4457ccfe94;aansluitingen|1883c202-7497-42b6-883c-e6320616dde9</vt:lpwstr>
  </op:property>
  <op:property fmtid="{D5CDD505-2E9C-101B-9397-08002B2CF9AE}" pid="18" name="BestaatUit">
    <vt:lpwstr/>
  </op:property>
  <op:property fmtid="{D5CDD505-2E9C-101B-9397-08002B2CF9AE}" pid="19" name="Mutatiesoort">
    <vt:lpwstr>84;#Gewijzigd|f3dc61a3-2652-4f68-beea-dfa9c7427ae0</vt:lpwstr>
  </op:property>
  <op:property fmtid="{D5CDD505-2E9C-101B-9397-08002B2CF9AE}" pid="20" name="Proces">
    <vt:lpwstr>13;#Beleid|08b631c3-20b0-4a43-9a0c-f16cdfaff7d3</vt:lpwstr>
  </op:property>
  <op:property fmtid="{D5CDD505-2E9C-101B-9397-08002B2CF9AE}" pid="21" name="Componentgroep">
    <vt:lpwstr>68;#Transformatoren|c857c584-878b-4b09-9ee0-7e9ae8d3e7b8;#48;#Kabels/lijnen/verbindings- en aftakmaterialen|d4ecab75-5b03-44c1-8375-a5fb2e24732d;#67;#Beveiligingen|f1c7f332-3952-4d75-9f8d-4d53afb3c9dd;#55;#Installaties (samenstel van)|6898af8f-8be2-4635-98b7-0d4457ccfe94;#190;#aansluitingen|1883c202-7497-42b6-883c-e6320616dde9</vt:lpwstr>
  </op:property>
  <op:property fmtid="{D5CDD505-2E9C-101B-9397-08002B2CF9AE}" pid="22" name="Normcommissie">
    <vt:lpwstr/>
  </op:property>
  <op:property fmtid="{D5CDD505-2E9C-101B-9397-08002B2CF9AE}" pid="23" name="PublicerenNaar">
    <vt:lpwstr>162;#Gepubliceerd naar Aannemersportaal|a2fff5d2-77bc-4729-9f17-cd3e12ae106e</vt:lpwstr>
  </op:property>
  <op:property fmtid="{D5CDD505-2E9C-101B-9397-08002B2CF9AE}" pid="24" name="Discipline">
    <vt:lpwstr>30;#Elektriciteit|d2561944-72c2-413c-9df5-747f3bf7b189</vt:lpwstr>
  </op:property>
  <op:property fmtid="{D5CDD505-2E9C-101B-9397-08002B2CF9AE}" pid="25" name="Bestelbaar">
    <vt:bool>false</vt:bool>
  </op:property>
  <op:property fmtid="{D5CDD505-2E9C-101B-9397-08002B2CF9AE}" pid="26" name="m2278a6bbcc348c48eb9549eb651ce7a">
    <vt:lpwstr/>
  </op:property>
  <op:property fmtid="{D5CDD505-2E9C-101B-9397-08002B2CF9AE}" pid="27" name="Toepassingsgebied">
    <vt:lpwstr/>
  </op:property>
  <op:property fmtid="{D5CDD505-2E9C-101B-9397-08002B2CF9AE}" pid="28" name="Doelgroep">
    <vt:lpwstr>79;#(medewerker) Engineer|679bad81-2a89-4cc9-9696-b4315a73b7d8</vt:lpwstr>
  </op:property>
  <op:property fmtid="{D5CDD505-2E9C-101B-9397-08002B2CF9AE}" pid="29" name="SoortBeleidsdocument">
    <vt:lpwstr>146;#N.v.t.|3441fe3e-1fb5-4963-b005-d9241ba1abee</vt:lpwstr>
  </op:property>
  <op:property fmtid="{D5CDD505-2E9C-101B-9397-08002B2CF9AE}" pid="30" name="m15cd9860a8c4f948c323496c2c85b0d">
    <vt:lpwstr/>
  </op:property>
  <op:property fmtid="{D5CDD505-2E9C-101B-9397-08002B2CF9AE}" pid="31" name="Netvlak0">
    <vt:lpwstr>60;#LS|34f96bd0-44a9-4a06-8ca4-582c5766c200</vt:lpwstr>
  </op:property>
  <op:property fmtid="{D5CDD505-2E9C-101B-9397-08002B2CF9AE}" pid="32" name="NENConnectMutaties">
    <vt:lpwstr/>
  </op:property>
  <op:property fmtid="{D5CDD505-2E9C-101B-9397-08002B2CF9AE}" pid="33" name="ne9ebb55996e405fa5aeb3490bdcd9cf">
    <vt:lpwstr>LS|34f96bd0-44a9-4a06-8ca4-582c5766c200</vt:lpwstr>
  </op:property>
  <op:property fmtid="{D5CDD505-2E9C-101B-9397-08002B2CF9AE}" pid="34" name="Goedkeuringsstatus">
    <vt:lpwstr>Approve</vt:lpwstr>
  </op:property>
  <op:property fmtid="{D5CDD505-2E9C-101B-9397-08002B2CF9AE}" pid="35" name="l851e569308c4aaab49b8408160d217f">
    <vt:lpwstr>N.v.t.|3441fe3e-1fb5-4963-b005-d9241ba1abee</vt:lpwstr>
  </op:property>
  <op:property fmtid="{D5CDD505-2E9C-101B-9397-08002B2CF9AE}" pid="36" name="m5728e99927e43e7958c5bbd920aa092">
    <vt:lpwstr>Elektriciteit|d2561944-72c2-413c-9df5-747f3bf7b189</vt:lpwstr>
  </op:property>
  <op:property fmtid="{D5CDD505-2E9C-101B-9397-08002B2CF9AE}" pid="37" name="Gereedschap_x002d_E">
    <vt:lpwstr/>
  </op:property>
  <op:property fmtid="{D5CDD505-2E9C-101B-9397-08002B2CF9AE}" pid="38" name="Gereedschap_x002d_G">
    <vt:lpwstr/>
  </op:property>
  <op:property fmtid="{D5CDD505-2E9C-101B-9397-08002B2CF9AE}" pid="39" name="TriggerFlow">
    <vt:bool>true</vt:bool>
  </op:property>
  <op:property fmtid="{D5CDD505-2E9C-101B-9397-08002B2CF9AE}" pid="40" name="Gereedschap-E">
    <vt:lpwstr/>
  </op:property>
  <op:property fmtid="{D5CDD505-2E9C-101B-9397-08002B2CF9AE}" pid="41" name="Gereedschap-G">
    <vt:lpwstr/>
  </op:property>
  <op:property fmtid="{D5CDD505-2E9C-101B-9397-08002B2CF9AE}" pid="42" name="AantalDen">
    <vt:lpwstr/>
  </op:property>
  <op:property fmtid="{D5CDD505-2E9C-101B-9397-08002B2CF9AE}" pid="43" name="ba5a923f57584846b39267c1f98596ae">
    <vt:lpwstr/>
  </op:property>
  <op:property fmtid="{D5CDD505-2E9C-101B-9397-08002B2CF9AE}" pid="44" name="Documentstatus">
    <vt:lpwstr/>
  </op:property>
  <op:property fmtid="{D5CDD505-2E9C-101B-9397-08002B2CF9AE}" pid="45" name="Filternaam">
    <vt:lpwstr>Eea-0205.K.xlsx</vt:lpwstr>
  </op:property>
  <op:property fmtid="{D5CDD505-2E9C-101B-9397-08002B2CF9AE}" pid="46" name="Nummer">
    <vt:lpwstr/>
  </op:property>
  <op:property fmtid="{D5CDD505-2E9C-101B-9397-08002B2CF9AE}" pid="47" name="BeoordelaarNormen">
    <vt:lpwstr/>
  </op:property>
  <op:property fmtid="{D5CDD505-2E9C-101B-9397-08002B2CF9AE}" pid="48" name="j74e55614f0b4c229cb45907796095f7">
    <vt:lpwstr/>
  </op:property>
  <op:property fmtid="{D5CDD505-2E9C-101B-9397-08002B2CF9AE}" pid="49" name="Documentclassificatie">
    <vt:lpwstr/>
  </op:property>
  <op:property fmtid="{D5CDD505-2E9C-101B-9397-08002B2CF9AE}" pid="50" name="SharedWithUsers">
    <vt:lpwstr/>
  </op:property>
</op:Properties>
</file>